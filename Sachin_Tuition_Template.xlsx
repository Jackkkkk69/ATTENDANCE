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cfbef1dff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77d101045c434dab"/>
    <x:sheet xmlns:r="http://schemas.openxmlformats.org/officeDocument/2006/relationships" name="Attendance_Ledger_Input" sheetId="2" r:id="R40da0727476546b4"/>
    <x:sheet xmlns:r="http://schemas.openxmlformats.org/officeDocument/2006/relationships" name="Payments_Input" sheetId="3" r:id="R78c0738c8d284913"/>
    <x:sheet xmlns:r="http://schemas.openxmlformats.org/officeDocument/2006/relationships" name="Monthly_Output" sheetId="4" r:id="R2807cfdbe9bf4827"/>
    <x:sheet xmlns:r="http://schemas.openxmlformats.org/officeDocument/2006/relationships" name="Final_Audit_Output" sheetId="5" r:id="R77704c59fb654d8a"/>
    <x:sheet xmlns:r="http://schemas.openxmlformats.org/officeDocument/2006/relationships" name="Zero_Defect_Check" sheetId="6" r:id="Rc2308181e87642fe"/>
    <x:sheet xmlns:r="http://schemas.openxmlformats.org/officeDocument/2006/relationships" name="Instructions" sheetId="7" r:id="R45e18e21b20a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dd-mmm-yyyy"/>
    <x:numFmt numFmtId="202" formatCode="h:mm AM/PM"/>
    <x:numFmt numFmtId="203" formatCode="[h]:mm"/>
    <x:numFmt numFmtId="204" formatCode="₹#,##0.00"/>
    <x:numFmt numFmtId="205" formatCode="mmm-yyyy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8"/>
      </x:patternFill>
    </x:fill>
    <x:fill>
      <x:patternFill patternType="solid">
        <x:fgColor rgb="F2F2F2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8CBAD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ont>
        <x:b/>
      </x:font>
      <x:fill>
        <x:patternFill patternType="solid">
          <x:bgColor rgb="E2F0D9"/>
        </x:patternFill>
      </x:fill>
    </x:dxf>
    <x:dxf>
      <x:font>
        <x:b/>
      </x:font>
      <x:fill>
        <x:patternFill patternType="solid">
          <x:bgColor rgb="F8CBAD"/>
        </x:patternFill>
      </x:fill>
    </x:dxf>
    <x:dxf>
      <x:font>
        <x:b/>
      </x:font>
      <x:fill>
        <x:patternFill patternType="solid">
          <x:bgColor rgb="F8CBAD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3debb9eb844bb" /><Relationship Type="http://schemas.openxmlformats.org/officeDocument/2006/relationships/theme" Target="/xl/theme/theme1.xml" Id="R4637ede07cba4eaf" /><Relationship Type="http://schemas.openxmlformats.org/officeDocument/2006/relationships/sharedStrings" Target="/xl/sharedStrings.xml" Id="R3c5cb6bbcfb5445f" /><Relationship Type="http://schemas.openxmlformats.org/officeDocument/2006/relationships/worksheet" Target="/xl/worksheets/sheet1.xml" Id="R77d101045c434dab" /><Relationship Type="http://schemas.openxmlformats.org/officeDocument/2006/relationships/worksheet" Target="/xl/worksheets/sheet2.xml" Id="R40da0727476546b4" /><Relationship Type="http://schemas.openxmlformats.org/officeDocument/2006/relationships/worksheet" Target="/xl/worksheets/sheet3.xml" Id="R78c0738c8d284913" /><Relationship Type="http://schemas.openxmlformats.org/officeDocument/2006/relationships/worksheet" Target="/xl/worksheets/sheet4.xml" Id="R2807cfdbe9bf4827" /><Relationship Type="http://schemas.openxmlformats.org/officeDocument/2006/relationships/worksheet" Target="/xl/worksheets/sheet5.xml" Id="R77704c59fb654d8a" /><Relationship Type="http://schemas.openxmlformats.org/officeDocument/2006/relationships/worksheet" Target="/xl/worksheets/sheet6.xml" Id="Rc2308181e87642fe" /><Relationship Type="http://schemas.openxmlformats.org/officeDocument/2006/relationships/worksheet" Target="/xl/worksheets/sheet7.xml" Id="R45e18e21b20a48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43d679e83945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Completed Hours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Expected Hours</c:v>
          </c:tx>
          <c:cat>
            <c:strRef>
              <c:f>'Monthly_Output'!$A$2:$A$23</c:f>
              <c:strCache>
                <c:ptCount val="0"/>
              </c:strCache>
            </c:strRef>
          </c:cat>
          <c:val>
            <c:numRef>
              <c:f>'Monthly_Output'!$B$2:$B$23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Completed Hours</c:v>
          </c:tx>
          <c:cat>
            <c:strRef>
              <c:f>'Monthly_Output'!$A$2:$A$23</c:f>
              <c:strCache>
                <c:ptCount val="0"/>
              </c:strCache>
            </c:strRef>
          </c:cat>
          <c:val>
            <c:numRef>
              <c:f>'Monthly_Output'!$C$2:$C$23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43d679e839456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tendanceInputTable" displayName="AttendanceInputTable" ref="A1:N501" headerRowCount="1">
  <x:tableColumns count="14">
    <x:tableColumn id="1" name="Sr"/>
    <x:tableColumn id="2" name="Date"/>
    <x:tableColumn id="3" name="Month"/>
    <x:tableColumn id="4" name="Day"/>
    <x:tableColumn id="5" name="Start Time"/>
    <x:tableColumn id="6" name="End Time"/>
    <x:tableColumn id="7" name="Break (min)"/>
    <x:tableColumn id="8" name="Duration Hours (Auto)"/>
    <x:tableColumn id="9" name="Duration hh:mm"/>
    <x:tableColumn id="10" name="Status"/>
    <x:tableColumn id="11" name="Expected/Day"/>
    <x:tableColumn id="12" name="Shortage/Excess vs Day"/>
    <x:tableColumn id="13" name="Source/Remarks"/>
    <x:tableColumn id="14" name="Input Check"/>
  </x:tableColumns>
  <x:tableStyleInfo name="TableStyleMedium2" showRowStripes="1"/>
</x:table>
</file>

<file path=xl/tables/table2.xml><?xml version="1.0" encoding="utf-8"?>
<x:table xmlns:x="http://schemas.openxmlformats.org/spreadsheetml/2006/main" id="2" name="PaymentsInputTable" displayName="PaymentsInputTable" ref="A1:F201" headerRowCount="1">
  <x:tableColumns count="6">
    <x:tableColumn id="1" name="Sr"/>
    <x:tableColumn id="2" name="Date"/>
    <x:tableColumn id="3" name="Paid By"/>
    <x:tableColumn id="4" name="Amount (Rs)"/>
    <x:tableColumn id="5" name="Mode/Ref"/>
    <x:tableColumn id="6" name="Remarks"/>
  </x:tableColumns>
  <x:tableStyleInfo name="TableStyleMedium2" showRowStripes="1"/>
</x:table>
</file>

<file path=xl/tables/table3.xml><?xml version="1.0" encoding="utf-8"?>
<x:table xmlns:x="http://schemas.openxmlformats.org/spreadsheetml/2006/main" id="3" name="MonthlyOutputTable" displayName="MonthlyOutputTable" ref="A1:I23" headerRowCount="1">
  <x:tableColumns count="9">
    <x:tableColumn id="1" name="Month"/>
    <x:tableColumn id="2" name="Expected Hours"/>
    <x:tableColumn id="3" name="Completed Hours"/>
    <x:tableColumn id="4" name="Shortage Hours"/>
    <x:tableColumn id="5" name="Excess Hours"/>
    <x:tableColumn id="6" name="Tuition Value"/>
    <x:tableColumn id="7" name="Payment Received"/>
    <x:tableColumn id="8" name="Net Refundable/Balance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5ed7af075147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713bb0882b42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004d369ff940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a22be349ad4edf" /></Relationships>
</file>

<file path=xl/worksheets/sheet1.xml><?xml version="1.0" encoding="utf-8"?>
<x:worksheet xmlns:x="http://schemas.openxmlformats.org/spreadsheetml/2006/main">
  <x:sheetFormatPr defaultRowHeight="15"/>
  <x:cols>
    <x:col min="1" max="1" width="74.29000091552734" hidden="0" customWidth="1"/>
    <x:col min="2" max="2" width="52.220001220703125" hidden="0" customWidth="1"/>
  </x:cols>
  <x:sheetData>
    <x:row r="1">
      <x:c r="A1" s="4" t="str">
        <x:v>SACHIN TUITION - INPUT APPLICATION / AUTO EXECUTION WORKBOOK</x:v>
      </x:c>
    </x:row>
    <x:row r="3">
      <x:c r="A3" s="12" t="str">
        <x:v>Control / Input</x:v>
      </x:c>
      <x:c r="B3" s="12" t="str">
        <x:v>Value</x:v>
      </x:c>
    </x:row>
    <x:row r="4">
      <x:c r="A4" s="19" t="str">
        <x:v>Hourly Rate (Rs/hr)</x:v>
      </x:c>
      <x:c r="B4" s="22" t="n">
        <x:v>384</x:v>
      </x:c>
    </x:row>
    <x:row r="5">
      <x:c r="A5" s="19" t="str">
        <x:v>Total Contract Expected Hours</x:v>
      </x:c>
      <x:c r="B5" s="22" t="n">
        <x:v>195</x:v>
      </x:c>
    </x:row>
    <x:row r="6">
      <x:c r="A6" s="19" t="str">
        <x:v>Standard Expected Hours per Month</x:v>
      </x:c>
      <x:c r="B6" s="22" t="n">
        <x:v>39</x:v>
      </x:c>
    </x:row>
    <x:row r="7">
      <x:c r="A7" s="19" t="str">
        <x:v>Standard Expected Hours per Day</x:v>
      </x:c>
      <x:c r="B7" t="n">
        <x:v>1.5</x:v>
      </x:c>
    </x:row>
    <x:row r="8">
      <x:c r="A8" s="19" t="str">
        <x:v>Attendance Period Start</x:v>
      </x:c>
      <x:c r="B8" s="24" t="n">
        <x:v>45813</x:v>
      </x:c>
    </x:row>
    <x:row r="9">
      <x:c r="A9" s="19" t="str">
        <x:v>Attendance Period End</x:v>
      </x:c>
      <x:c r="B9" s="24" t="n">
        <x:v>46477</x:v>
      </x:c>
    </x:row>
    <x:row r="10">
      <x:c r="A10" s="19" t="str">
        <x:v>Tuition Name</x:v>
      </x:c>
      <x:c r="B10" t="str">
        <x:v>Sachin Tuition</x:v>
      </x:c>
    </x:row>
    <x:row r="11">
      <x:c r="A11" s="19" t="str">
        <x:v>Prepared For</x:v>
      </x:c>
      <x:c r="B11" t="str">
        <x:v>G.K. Mandavi</x:v>
      </x:c>
    </x:row>
    <x:row r="12">
      <x:c r="A12" s="19" t="str">
        <x:v>Workbook Mode</x:v>
      </x:c>
      <x:c r="B12" t="str">
        <x:v>Enter data only in Attendance_Ledger_Input and Payments_Input</x:v>
      </x:c>
    </x:row>
    <x:row r="14">
      <x:c r="A14" s="28" t="str">
        <x:v>Live Dashboard - auto generated from input ledger</x:v>
      </x:c>
    </x:row>
    <x:row r="16">
      <x:c r="A16" s="12" t="str">
        <x:v>Particular</x:v>
      </x:c>
      <x:c r="B16" s="12" t="str">
        <x:v>Auto Output</x:v>
      </x:c>
    </x:row>
    <x:row r="17">
      <x:c r="A17" t="str">
        <x:v>Total Attendance Entries</x:v>
      </x:c>
      <x:c r="B17" t="n">
        <x:f>COUNTIF(Attendance_Ledger_Input!$H$2:$H$501,"Completed")</x:f>
        <x:v>0</x:v>
      </x:c>
    </x:row>
    <x:row r="18">
      <x:c r="A18" t="str">
        <x:v>Completed Hours</x:v>
      </x:c>
      <x:c r="B18" s="22" t="n">
        <x:f>ROUND(SUM(Attendance_Ledger_Input!$G$2:$G$501),2)</x:f>
        <x:v>0</x:v>
      </x:c>
    </x:row>
    <x:row r="19">
      <x:c r="A19" t="str">
        <x:v>Expected Hours</x:v>
      </x:c>
      <x:c r="B19" s="22" t="n">
        <x:f>$B$5</x:f>
        <x:v>195</x:v>
      </x:c>
    </x:row>
    <x:row r="20">
      <x:c r="A20" t="str">
        <x:v>Verified Shortage Hours</x:v>
      </x:c>
      <x:c r="B20" s="22" t="n">
        <x:f>MAX(0,B19-B18)</x:f>
        <x:v>195</x:v>
      </x:c>
    </x:row>
    <x:row r="21">
      <x:c r="A21" t="str">
        <x:v>Hourly Rate</x:v>
      </x:c>
      <x:c r="B21" s="22" t="n">
        <x:f>$B$4</x:f>
        <x:v>384</x:v>
      </x:c>
    </x:row>
    <x:row r="22">
      <x:c r="A22" t="str">
        <x:v>Tuition Value</x:v>
      </x:c>
      <x:c r="B22" s="22" t="n">
        <x:f>ROUND(B18*B21,2)</x:f>
        <x:v>0</x:v>
      </x:c>
    </x:row>
    <x:row r="23">
      <x:c r="A23" t="str">
        <x:v>Total Payment Received</x:v>
      </x:c>
      <x:c r="B23" s="22" t="n">
        <x:f>ROUND(SUM(Payments_Input!$C$2:$C$201),2)</x:f>
        <x:v>0</x:v>
      </x:c>
    </x:row>
    <x:row r="24">
      <x:c r="A24" t="str">
        <x:v>Refundable / Excess Amount</x:v>
      </x:c>
      <x:c r="B24" s="22" t="n">
        <x:f>ROUND(B23-B22,2)</x:f>
        <x:v>0</x:v>
      </x:c>
    </x:row>
    <x:row r="25">
      <x:c r="A25" t="str">
        <x:v>Audit Status</x:v>
      </x:c>
      <x:c r="B25" t="str">
        <x:f>IF(B20=0,"COMPLETE","BALANCE HOURS PENDING")</x:f>
        <x:v>BALANCE HOURS PENDING</x:v>
      </x:c>
    </x:row>
  </x:sheetData>
  <x:mergeCells>
    <x:mergeCell ref="A1:H1"/>
    <x:mergeCell ref="A14:H14"/>
  </x:mergeCells>
  <x:pageMargins left="0.7" right="0.7" top="0.75" bottom="0.75" header="0.3" footer="0.3"/>
  <x:drawing xmlns:r="http://schemas.openxmlformats.org/officeDocument/2006/relationships" r:id="R975ed7af07514741"/>
</x:worksheet>
</file>

<file path=xl/worksheets/sheet2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10.229999542236328" hidden="0" customWidth="1"/>
    <x:col min="3" max="3" width="7.670000076293945" hidden="0" customWidth="1"/>
    <x:col min="4" max="4" width="3.630000114440918" hidden="0" customWidth="1"/>
    <x:col min="5" max="5" width="8.34000015258789" hidden="0" customWidth="1"/>
    <x:col min="6" max="6" width="7.670000076293945" hidden="0" customWidth="1"/>
    <x:col min="7" max="7" width="9.420000076293945" hidden="0" customWidth="1"/>
    <x:col min="8" max="8" width="18.030000686645508" hidden="0" customWidth="1"/>
    <x:col min="9" max="9" width="13.460000038146973" hidden="0" customWidth="1"/>
    <x:col min="10" max="10" width="8.75" hidden="0" customWidth="1"/>
    <x:col min="11" max="11" width="11.3100004196167" hidden="0" customWidth="1"/>
    <x:col min="12" max="12" width="18.979999542236328" hidden="0" customWidth="1"/>
    <x:col min="13" max="13" width="32" hidden="0" customWidth="1"/>
    <x:col min="14" max="14" width="9.829999923706055" hidden="0" customWidth="1"/>
  </x:cols>
  <x:sheetData>
    <x:row r="1" ht="30" customHeight="1">
      <x:c r="A1" s="12" t="str">
        <x:v>Sr</x:v>
      </x:c>
      <x:c r="B1" s="12" t="str">
        <x:v>Date</x:v>
      </x:c>
      <x:c r="C1" s="12" t="str">
        <x:v>Month</x:v>
      </x:c>
      <x:c r="D1" s="12" t="str">
        <x:v>Day</x:v>
      </x:c>
      <x:c r="E1" s="12" t="str">
        <x:v>Start Time</x:v>
      </x:c>
      <x:c r="F1" s="12" t="str">
        <x:v>End Time</x:v>
      </x:c>
      <x:c r="G1" s="12" t="str">
        <x:v>Break (min)</x:v>
      </x:c>
      <x:c r="H1" s="12" t="str">
        <x:v>Duration Hours (Auto)</x:v>
      </x:c>
      <x:c r="I1" s="12" t="str">
        <x:v>Duration hh:mm</x:v>
      </x:c>
      <x:c r="J1" s="12" t="str">
        <x:v>Status</x:v>
      </x:c>
      <x:c r="K1" s="12" t="str">
        <x:v>Expected/Day</x:v>
      </x:c>
      <x:c r="L1" s="12" t="str">
        <x:v>Shortage/Excess vs Day</x:v>
      </x:c>
      <x:c r="M1" s="12" t="str">
        <x:v>Source/Remarks</x:v>
      </x:c>
      <x:c r="N1" s="12" t="str">
        <x:v>Input Check</x:v>
      </x:c>
    </x:row>
    <x:row r="2">
      <x:c r="A2" t="n">
        <x:f>IF(B2="","",ROW()-1)</x:f>
        <x:v>1</x:v>
      </x:c>
      <x:c r="B2" s="24" t="n">
        <x:v>45813</x:v>
      </x:c>
      <x:c r="C2" t="str">
        <x:f>IF(B2="","",TEXT(B2,"mmm-yyyy"))</x:f>
        <x:v>Jun-2025</x:v>
      </x:c>
      <x:c r="D2" t="str">
        <x:f>IF(B2="","",TEXT(B2,"ddd"))</x:f>
        <x:v>Thu</x:v>
      </x:c>
      <x:c r="E2" s="32" t="n">
        <x:v>0.7361111111111112</x:v>
      </x:c>
      <x:c r="F2" s="32" t="n">
        <x:v>0.7951388888888888</x:v>
      </x:c>
      <x:c r="G2" t="n">
        <x:v>0</x:v>
      </x:c>
      <x:c r="H2" s="22" t="n">
        <x:f>IF(OR(B2="",J2&lt;&gt;"Completed"),0,IF(AND(ISNUMBER(E2),ISNUMBER(F2)),ROUND(((F2-E2)+(F2&lt;E2))*24-(N(G2)/60),2),0))</x:f>
        <x:v>1.42</x:v>
      </x:c>
      <x:c r="I2" s="34" t="n">
        <x:f>IF(H2=0,"",H2/24)</x:f>
        <x:v>0.059166666666666666</x:v>
      </x:c>
      <x:c r="J2" t="str">
        <x:v>Completed</x:v>
      </x:c>
      <x:c r="K2" s="22" t="n">
        <x:f>IF(B2="","",START_HERE!$B$7)</x:f>
        <x:v>1.5</x:v>
      </x:c>
      <x:c r="L2" s="22" t="n">
        <x:f>IF(B2="","",ROUND(K2-H2,2))</x:f>
        <x:v>0.08</x:v>
      </x:c>
      <x:c r="M2" t="str">
        <x:v>Page 1</x:v>
      </x:c>
      <x:c r="N2" t="str">
        <x:f>IF(B2="","",IF(J2&lt;&gt;"Completed","Not counted",IF(H2&lt;=0,"CHECK TIME","OK")))</x:f>
        <x:v>OK</x:v>
      </x:c>
    </x:row>
    <x:row r="3">
      <x:c r="A3" t="n">
        <x:f>IF(B3="","",ROW()-1)</x:f>
        <x:v>2</x:v>
      </x:c>
      <x:c r="B3" s="24" t="n">
        <x:v>45814</x:v>
      </x:c>
      <x:c r="C3" t="str">
        <x:f>IF(B3="","",TEXT(B3,"mmm-yyyy"))</x:f>
        <x:v>Jun-2025</x:v>
      </x:c>
      <x:c r="D3" t="str">
        <x:f>IF(B3="","",TEXT(B3,"ddd"))</x:f>
        <x:v>Fri</x:v>
      </x:c>
      <x:c r="E3" s="32" t="n">
        <x:v>0.7472222222222222</x:v>
      </x:c>
      <x:c r="F3" s="32" t="n">
        <x:v>0.8125</x:v>
      </x:c>
      <x:c r="G3" t="n">
        <x:v>0</x:v>
      </x:c>
      <x:c r="H3" s="22" t="n">
        <x:f>IF(OR(B3="",J3&lt;&gt;"Completed"),0,IF(AND(ISNUMBER(E3),ISNUMBER(F3)),ROUND(((F3-E3)+(F3&lt;E3))*24-(N(G3)/60),2),0))</x:f>
        <x:v>1.57</x:v>
      </x:c>
      <x:c r="I3" s="34" t="n">
        <x:f>IF(H3=0,"",H3/24)</x:f>
        <x:v>0.06541666666666666</x:v>
      </x:c>
      <x:c r="J3" t="str">
        <x:v>Completed</x:v>
      </x:c>
      <x:c r="K3" s="22" t="n">
        <x:f>IF(B3="","",START_HERE!$B$7)</x:f>
        <x:v>1.5</x:v>
      </x:c>
      <x:c r="L3" s="22" t="n">
        <x:f>IF(B3="","",ROUND(K3-H3,2))</x:f>
        <x:v>-0.07</x:v>
      </x:c>
      <x:c r="M3" t="str">
        <x:v>Page 1</x:v>
      </x:c>
      <x:c r="N3" t="str">
        <x:f>IF(B3="","",IF(J3&lt;&gt;"Completed","Not counted",IF(H3&lt;=0,"CHECK TIME","OK")))</x:f>
        <x:v>OK</x:v>
      </x:c>
    </x:row>
    <x:row r="4">
      <x:c r="A4" t="n">
        <x:f>IF(B4="","",ROW()-1)</x:f>
        <x:v>3</x:v>
      </x:c>
      <x:c r="B4" s="24" t="n">
        <x:v>45815</x:v>
      </x:c>
      <x:c r="C4" t="str">
        <x:f>IF(B4="","",TEXT(B4,"mmm-yyyy"))</x:f>
        <x:v>Jun-2025</x:v>
      </x:c>
      <x:c r="D4" t="str">
        <x:f>IF(B4="","",TEXT(B4,"ddd"))</x:f>
        <x:v>Sat</x:v>
      </x:c>
      <x:c r="E4" s="32" t="n">
        <x:v>0.6666666666666666</x:v>
      </x:c>
      <x:c r="F4" s="32" t="n">
        <x:v>0.7152777777777778</x:v>
      </x:c>
      <x:c r="G4" t="n">
        <x:v>0</x:v>
      </x:c>
      <x:c r="H4" s="22" t="n">
        <x:f>IF(OR(B4="",J4&lt;&gt;"Completed"),0,IF(AND(ISNUMBER(E4),ISNUMBER(F4)),ROUND(((F4-E4)+(F4&lt;E4))*24-(N(G4)/60),2),0))</x:f>
        <x:v>1.17</x:v>
      </x:c>
      <x:c r="I4" s="34" t="n">
        <x:f>IF(H4=0,"",H4/24)</x:f>
        <x:v>0.048749999999999995</x:v>
      </x:c>
      <x:c r="J4" t="str">
        <x:v>Completed</x:v>
      </x:c>
      <x:c r="K4" s="22" t="n">
        <x:f>IF(B4="","",START_HERE!$B$7)</x:f>
        <x:v>1.5</x:v>
      </x:c>
      <x:c r="L4" s="22" t="n">
        <x:f>IF(B4="","",ROUND(K4-H4,2))</x:f>
        <x:v>0.33</x:v>
      </x:c>
      <x:c r="M4" t="str">
        <x:v>Page 1</x:v>
      </x:c>
      <x:c r="N4" t="str">
        <x:f>IF(B4="","",IF(J4&lt;&gt;"Completed","Not counted",IF(H4&lt;=0,"CHECK TIME","OK")))</x:f>
        <x:v>OK</x:v>
      </x:c>
    </x:row>
    <x:row r="5">
      <x:c r="A5" t="n">
        <x:f>IF(B5="","",ROW()-1)</x:f>
        <x:v>4</x:v>
      </x:c>
      <x:c r="B5" s="24" t="n">
        <x:v>45820</x:v>
      </x:c>
      <x:c r="C5" t="str">
        <x:f>IF(B5="","",TEXT(B5,"mmm-yyyy"))</x:f>
        <x:v>Jun-2025</x:v>
      </x:c>
      <x:c r="D5" t="str">
        <x:f>IF(B5="","",TEXT(B5,"ddd"))</x:f>
        <x:v>Thu</x:v>
      </x:c>
      <x:c r="E5" s="32" t="n">
        <x:v>0.8298611111111112</x:v>
      </x:c>
      <x:c r="F5" s="32" t="n">
        <x:v>0.8958333333333334</x:v>
      </x:c>
      <x:c r="G5" t="n">
        <x:v>0</x:v>
      </x:c>
      <x:c r="H5" s="22" t="n">
        <x:f>IF(OR(B5="",J5&lt;&gt;"Completed"),0,IF(AND(ISNUMBER(E5),ISNUMBER(F5)),ROUND(((F5-E5)+(F5&lt;E5))*24-(N(G5)/60),2),0))</x:f>
        <x:v>1.58</x:v>
      </x:c>
      <x:c r="I5" s="34" t="n">
        <x:f>IF(H5=0,"",H5/24)</x:f>
        <x:v>0.06583333333333334</x:v>
      </x:c>
      <x:c r="J5" t="str">
        <x:v>Completed</x:v>
      </x:c>
      <x:c r="K5" s="22" t="n">
        <x:f>IF(B5="","",START_HERE!$B$7)</x:f>
        <x:v>1.5</x:v>
      </x:c>
      <x:c r="L5" s="22" t="n">
        <x:f>IF(B5="","",ROUND(K5-H5,2))</x:f>
        <x:v>-0.08</x:v>
      </x:c>
      <x:c r="M5" t="str">
        <x:v>Page 1</x:v>
      </x:c>
      <x:c r="N5" t="str">
        <x:f>IF(B5="","",IF(J5&lt;&gt;"Completed","Not counted",IF(H5&lt;=0,"CHECK TIME","OK")))</x:f>
        <x:v>OK</x:v>
      </x:c>
    </x:row>
    <x:row r="6">
      <x:c r="A6" t="n">
        <x:f>IF(B6="","",ROW()-1)</x:f>
        <x:v>5</x:v>
      </x:c>
      <x:c r="B6" s="24" t="n">
        <x:v>45821</x:v>
      </x:c>
      <x:c r="C6" t="str">
        <x:f>IF(B6="","",TEXT(B6,"mmm-yyyy"))</x:f>
        <x:v>Jun-2025</x:v>
      </x:c>
      <x:c r="D6" t="str">
        <x:f>IF(B6="","",TEXT(B6,"ddd"))</x:f>
        <x:v>Fri</x:v>
      </x:c>
      <x:c r="E6" s="32" t="n">
        <x:v>0.5416666666666666</x:v>
      </x:c>
      <x:c r="F6" s="32" t="n">
        <x:v>0.7048611111111112</x:v>
      </x:c>
      <x:c r="G6" t="n">
        <x:v>0</x:v>
      </x:c>
      <x:c r="H6" s="22" t="n">
        <x:f>IF(OR(B6="",J6&lt;&gt;"Completed"),0,IF(AND(ISNUMBER(E6),ISNUMBER(F6)),ROUND(((F6-E6)+(F6&lt;E6))*24-(N(G6)/60),2),0))</x:f>
        <x:v>3.92</x:v>
      </x:c>
      <x:c r="I6" s="34" t="n">
        <x:f>IF(H6=0,"",H6/24)</x:f>
        <x:v>0.16333333333333333</x:v>
      </x:c>
      <x:c r="J6" t="str">
        <x:v>Completed</x:v>
      </x:c>
      <x:c r="K6" s="22" t="n">
        <x:f>IF(B6="","",START_HERE!$B$7)</x:f>
        <x:v>1.5</x:v>
      </x:c>
      <x:c r="L6" s="22" t="n">
        <x:f>IF(B6="","",ROUND(K6-H6,2))</x:f>
        <x:v>-2.42</x:v>
      </x:c>
      <x:c r="M6" t="str">
        <x:v>Page 1</x:v>
      </x:c>
      <x:c r="N6" t="str">
        <x:f>IF(B6="","",IF(J6&lt;&gt;"Completed","Not counted",IF(H6&lt;=0,"CHECK TIME","OK")))</x:f>
        <x:v>OK</x:v>
      </x:c>
    </x:row>
    <x:row r="7">
      <x:c r="A7" t="n">
        <x:f>IF(B7="","",ROW()-1)</x:f>
        <x:v>6</x:v>
      </x:c>
      <x:c r="B7" s="24" t="n">
        <x:v>45822</x:v>
      </x:c>
      <x:c r="C7" t="str">
        <x:f>IF(B7="","",TEXT(B7,"mmm-yyyy"))</x:f>
        <x:v>Jun-2025</x:v>
      </x:c>
      <x:c r="D7" t="str">
        <x:f>IF(B7="","",TEXT(B7,"ddd"))</x:f>
        <x:v>Sat</x:v>
      </x:c>
      <x:c r="E7" s="32" t="n">
        <x:v>0.5590277777777778</x:v>
      </x:c>
      <x:c r="F7" s="32" t="n">
        <x:v>0.625</x:v>
      </x:c>
      <x:c r="G7" t="n">
        <x:v>0</x:v>
      </x:c>
      <x:c r="H7" s="22" t="n">
        <x:f>IF(OR(B7="",J7&lt;&gt;"Completed"),0,IF(AND(ISNUMBER(E7),ISNUMBER(F7)),ROUND(((F7-E7)+(F7&lt;E7))*24-(N(G7)/60),2),0))</x:f>
        <x:v>1.58</x:v>
      </x:c>
      <x:c r="I7" s="34" t="n">
        <x:f>IF(H7=0,"",H7/24)</x:f>
        <x:v>0.06583333333333334</x:v>
      </x:c>
      <x:c r="J7" t="str">
        <x:v>Completed</x:v>
      </x:c>
      <x:c r="K7" s="22" t="n">
        <x:f>IF(B7="","",START_HERE!$B$7)</x:f>
        <x:v>1.5</x:v>
      </x:c>
      <x:c r="L7" s="22" t="n">
        <x:f>IF(B7="","",ROUND(K7-H7,2))</x:f>
        <x:v>-0.08</x:v>
      </x:c>
      <x:c r="M7" t="str">
        <x:v>Page 1 - End/duration overwritten</x:v>
      </x:c>
      <x:c r="N7" t="str">
        <x:f>IF(B7="","",IF(J7&lt;&gt;"Completed","Not counted",IF(H7&lt;=0,"CHECK TIME","OK")))</x:f>
        <x:v>OK</x:v>
      </x:c>
    </x:row>
    <x:row r="8">
      <x:c r="A8" t="n">
        <x:f>IF(B8="","",ROW()-1)</x:f>
        <x:v>7</x:v>
      </x:c>
      <x:c r="B8" s="24" t="n">
        <x:v>45823</x:v>
      </x:c>
      <x:c r="C8" t="str">
        <x:f>IF(B8="","",TEXT(B8,"mmm-yyyy"))</x:f>
        <x:v>Jun-2025</x:v>
      </x:c>
      <x:c r="D8" t="str">
        <x:f>IF(B8="","",TEXT(B8,"ddd"))</x:f>
        <x:v>Sun</x:v>
      </x:c>
      <x:c r="E8" s="32" t="n">
        <x:v>0.6041666666666666</x:v>
      </x:c>
      <x:c r="F8" s="32" t="n">
        <x:v>0.8125</x:v>
      </x:c>
      <x:c r="G8" t="n">
        <x:v>0</x:v>
      </x:c>
      <x:c r="H8" s="22" t="n">
        <x:f>IF(OR(B8="",J8&lt;&gt;"Completed"),0,IF(AND(ISNUMBER(E8),ISNUMBER(F8)),ROUND(((F8-E8)+(F8&lt;E8))*24-(N(G8)/60),2),0))</x:f>
        <x:v>5</x:v>
      </x:c>
      <x:c r="I8" s="34" t="n">
        <x:f>IF(H8=0,"",H8/24)</x:f>
        <x:v>0.20833333333333334</x:v>
      </x:c>
      <x:c r="J8" t="str">
        <x:v>Completed</x:v>
      </x:c>
      <x:c r="K8" s="22" t="n">
        <x:f>IF(B8="","",START_HERE!$B$7)</x:f>
        <x:v>1.5</x:v>
      </x:c>
      <x:c r="L8" s="22" t="n">
        <x:f>IF(B8="","",ROUND(K8-H8,2))</x:f>
        <x:v>-3.5</x:v>
      </x:c>
      <x:c r="M8" t="str">
        <x:v>Page 1 - Sunday; long class</x:v>
      </x:c>
      <x:c r="N8" t="str">
        <x:f>IF(B8="","",IF(J8&lt;&gt;"Completed","Not counted",IF(H8&lt;=0,"CHECK TIME","OK")))</x:f>
        <x:v>OK</x:v>
      </x:c>
    </x:row>
    <x:row r="9">
      <x:c r="A9" t="n">
        <x:f>IF(B9="","",ROW()-1)</x:f>
        <x:v>8</x:v>
      </x:c>
      <x:c r="B9" s="24" t="n">
        <x:v>45824</x:v>
      </x:c>
      <x:c r="C9" t="str">
        <x:f>IF(B9="","",TEXT(B9,"mmm-yyyy"))</x:f>
        <x:v>Jun-2025</x:v>
      </x:c>
      <x:c r="D9" t="str">
        <x:f>IF(B9="","",TEXT(B9,"ddd"))</x:f>
        <x:v>Mon</x:v>
      </x:c>
      <x:c r="E9" s="32" t="n">
        <x:v>0.7291666666666666</x:v>
      </x:c>
      <x:c r="F9" s="32" t="n">
        <x:v>0.8194444444444444</x:v>
      </x:c>
      <x:c r="G9" t="n">
        <x:v>0</x:v>
      </x:c>
      <x:c r="H9" s="22" t="n">
        <x:f>IF(OR(B9="",J9&lt;&gt;"Completed"),0,IF(AND(ISNUMBER(E9),ISNUMBER(F9)),ROUND(((F9-E9)+(F9&lt;E9))*24-(N(G9)/60),2),0))</x:f>
        <x:v>2.17</x:v>
      </x:c>
      <x:c r="I9" s="34" t="n">
        <x:f>IF(H9=0,"",H9/24)</x:f>
        <x:v>0.09041666666666666</x:v>
      </x:c>
      <x:c r="J9" t="str">
        <x:v>Completed</x:v>
      </x:c>
      <x:c r="K9" s="22" t="n">
        <x:f>IF(B9="","",START_HERE!$B$7)</x:f>
        <x:v>1.5</x:v>
      </x:c>
      <x:c r="L9" s="22" t="n">
        <x:f>IF(B9="","",ROUND(K9-H9,2))</x:f>
        <x:v>-0.67</x:v>
      </x:c>
      <x:c r="M9" t="str">
        <x:v>Page 1</x:v>
      </x:c>
      <x:c r="N9" t="str">
        <x:f>IF(B9="","",IF(J9&lt;&gt;"Completed","Not counted",IF(H9&lt;=0,"CHECK TIME","OK")))</x:f>
        <x:v>OK</x:v>
      </x:c>
    </x:row>
    <x:row r="10">
      <x:c r="A10" t="n">
        <x:f>IF(B10="","",ROW()-1)</x:f>
        <x:v>9</x:v>
      </x:c>
      <x:c r="B10" s="24" t="n">
        <x:v>45825</x:v>
      </x:c>
      <x:c r="C10" t="str">
        <x:f>IF(B10="","",TEXT(B10,"mmm-yyyy"))</x:f>
        <x:v>Jun-2025</x:v>
      </x:c>
      <x:c r="D10" t="str">
        <x:f>IF(B10="","",TEXT(B10,"ddd"))</x:f>
        <x:v>Tue</x:v>
      </x:c>
      <x:c r="E10" s="32" t="n">
        <x:v>0.7708333333333334</x:v>
      </x:c>
      <x:c r="F10" s="32" t="n">
        <x:v>0.8645833333333334</x:v>
      </x:c>
      <x:c r="G10" t="n">
        <x:v>0</x:v>
      </x:c>
      <x:c r="H10" s="22" t="n">
        <x:f>IF(OR(B10="",J10&lt;&gt;"Completed"),0,IF(AND(ISNUMBER(E10),ISNUMBER(F10)),ROUND(((F10-E10)+(F10&lt;E10))*24-(N(G10)/60),2),0))</x:f>
        <x:v>2.25</x:v>
      </x:c>
      <x:c r="I10" s="34" t="n">
        <x:f>IF(H10=0,"",H10/24)</x:f>
        <x:v>0.09375</x:v>
      </x:c>
      <x:c r="J10" t="str">
        <x:v>Completed</x:v>
      </x:c>
      <x:c r="K10" s="22" t="n">
        <x:f>IF(B10="","",START_HERE!$B$7)</x:f>
        <x:v>1.5</x:v>
      </x:c>
      <x:c r="L10" s="22" t="n">
        <x:f>IF(B10="","",ROUND(K10-H10,2))</x:f>
        <x:v>-0.75</x:v>
      </x:c>
      <x:c r="M10" t="str">
        <x:v>Page 1</x:v>
      </x:c>
      <x:c r="N10" t="str">
        <x:f>IF(B10="","",IF(J10&lt;&gt;"Completed","Not counted",IF(H10&lt;=0,"CHECK TIME","OK")))</x:f>
        <x:v>OK</x:v>
      </x:c>
    </x:row>
    <x:row r="11">
      <x:c r="A11" t="n">
        <x:f>IF(B11="","",ROW()-1)</x:f>
        <x:v>10</x:v>
      </x:c>
      <x:c r="B11" s="24" t="n">
        <x:v>45826</x:v>
      </x:c>
      <x:c r="C11" t="str">
        <x:f>IF(B11="","",TEXT(B11,"mmm-yyyy"))</x:f>
        <x:v>Jun-2025</x:v>
      </x:c>
      <x:c r="D11" t="str">
        <x:f>IF(B11="","",TEXT(B11,"ddd"))</x:f>
        <x:v>Wed</x:v>
      </x:c>
      <x:c r="E11" s="32" t="n">
        <x:v>0.7083333333333334</x:v>
      </x:c>
      <x:c r="F11" s="32" t="n">
        <x:v>0.8020833333333334</x:v>
      </x:c>
      <x:c r="G11" t="n">
        <x:v>0</x:v>
      </x:c>
      <x:c r="H11" s="22" t="n">
        <x:f>IF(OR(B11="",J11&lt;&gt;"Completed"),0,IF(AND(ISNUMBER(E11),ISNUMBER(F11)),ROUND(((F11-E11)+(F11&lt;E11))*24-(N(G11)/60),2),0))</x:f>
        <x:v>2.25</x:v>
      </x:c>
      <x:c r="I11" s="34" t="n">
        <x:f>IF(H11=0,"",H11/24)</x:f>
        <x:v>0.09375</x:v>
      </x:c>
      <x:c r="J11" t="str">
        <x:v>Completed</x:v>
      </x:c>
      <x:c r="K11" s="22" t="n">
        <x:f>IF(B11="","",START_HERE!$B$7)</x:f>
        <x:v>1.5</x:v>
      </x:c>
      <x:c r="L11" s="22" t="n">
        <x:f>IF(B11="","",ROUND(K11-H11,2))</x:f>
        <x:v>-0.75</x:v>
      </x:c>
      <x:c r="M11" t="str">
        <x:v>Page 1</x:v>
      </x:c>
      <x:c r="N11" t="str">
        <x:f>IF(B11="","",IF(J11&lt;&gt;"Completed","Not counted",IF(H11&lt;=0,"CHECK TIME","OK")))</x:f>
        <x:v>OK</x:v>
      </x:c>
    </x:row>
    <x:row r="12">
      <x:c r="A12" t="n">
        <x:f>IF(B12="","",ROW()-1)</x:f>
        <x:v>11</x:v>
      </x:c>
      <x:c r="B12" s="24" t="n">
        <x:v>45827</x:v>
      </x:c>
      <x:c r="C12" t="str">
        <x:f>IF(B12="","",TEXT(B12,"mmm-yyyy"))</x:f>
        <x:v>Jun-2025</x:v>
      </x:c>
      <x:c r="D12" t="str">
        <x:f>IF(B12="","",TEXT(B12,"ddd"))</x:f>
        <x:v>Thu</x:v>
      </x:c>
      <x:c r="E12" s="32" t="n">
        <x:v>0.7013888888888888</x:v>
      </x:c>
      <x:c r="F12" s="32" t="n">
        <x:v>0.8194444444444444</x:v>
      </x:c>
      <x:c r="G12" t="n">
        <x:v>0</x:v>
      </x:c>
      <x:c r="H12" s="22" t="n">
        <x:f>IF(OR(B12="",J12&lt;&gt;"Completed"),0,IF(AND(ISNUMBER(E12),ISNUMBER(F12)),ROUND(((F12-E12)+(F12&lt;E12))*24-(N(G12)/60),2),0))</x:f>
        <x:v>2.83</x:v>
      </x:c>
      <x:c r="I12" s="34" t="n">
        <x:f>IF(H12=0,"",H12/24)</x:f>
        <x:v>0.11791666666666667</x:v>
      </x:c>
      <x:c r="J12" t="str">
        <x:v>Completed</x:v>
      </x:c>
      <x:c r="K12" s="22" t="n">
        <x:f>IF(B12="","",START_HERE!$B$7)</x:f>
        <x:v>1.5</x:v>
      </x:c>
      <x:c r="L12" s="22" t="n">
        <x:f>IF(B12="","",ROUND(K12-H12,2))</x:f>
        <x:v>-1.33</x:v>
      </x:c>
      <x:c r="M12" t="str">
        <x:v>Page 1 - Written duration appears 3:00, time difference 2:50</x:v>
      </x:c>
      <x:c r="N12" t="str">
        <x:f>IF(B12="","",IF(J12&lt;&gt;"Completed","Not counted",IF(H12&lt;=0,"CHECK TIME","OK")))</x:f>
        <x:v>OK</x:v>
      </x:c>
    </x:row>
    <x:row r="13">
      <x:c r="A13" t="n">
        <x:f>IF(B13="","",ROW()-1)</x:f>
        <x:v>12</x:v>
      </x:c>
      <x:c r="B13" s="24" t="n">
        <x:v>45828</x:v>
      </x:c>
      <x:c r="C13" t="str">
        <x:f>IF(B13="","",TEXT(B13,"mmm-yyyy"))</x:f>
        <x:v>Jun-2025</x:v>
      </x:c>
      <x:c r="D13" t="str">
        <x:f>IF(B13="","",TEXT(B13,"ddd"))</x:f>
        <x:v>Fri</x:v>
      </x:c>
      <x:c r="E13" s="32" t="n">
        <x:v>0.5909722222222222</x:v>
      </x:c>
      <x:c r="F13" s="32" t="n">
        <x:v>0.6597222222222222</x:v>
      </x:c>
      <x:c r="G13" t="n">
        <x:v>0</x:v>
      </x:c>
      <x:c r="H13" s="22" t="n">
        <x:f>IF(OR(B13="",J13&lt;&gt;"Completed"),0,IF(AND(ISNUMBER(E13),ISNUMBER(F13)),ROUND(((F13-E13)+(F13&lt;E13))*24-(N(G13)/60),2),0))</x:f>
        <x:v>1.65</x:v>
      </x:c>
      <x:c r="I13" s="34" t="n">
        <x:f>IF(H13=0,"",H13/24)</x:f>
        <x:v>0.06874999999999999</x:v>
      </x:c>
      <x:c r="J13" t="str">
        <x:v>Completed</x:v>
      </x:c>
      <x:c r="K13" s="22" t="n">
        <x:f>IF(B13="","",START_HERE!$B$7)</x:f>
        <x:v>1.5</x:v>
      </x:c>
      <x:c r="L13" s="22" t="n">
        <x:f>IF(B13="","",ROUND(K13-H13,2))</x:f>
        <x:v>-0.15</x:v>
      </x:c>
      <x:c r="M13" t="str">
        <x:v>Page 1 - Written duration appears 1:30, time difference 1:39</x:v>
      </x:c>
      <x:c r="N13" t="str">
        <x:f>IF(B13="","",IF(J13&lt;&gt;"Completed","Not counted",IF(H13&lt;=0,"CHECK TIME","OK")))</x:f>
        <x:v>OK</x:v>
      </x:c>
    </x:row>
    <x:row r="14">
      <x:c r="A14" t="n">
        <x:f>IF(B14="","",ROW()-1)</x:f>
        <x:v>13</x:v>
      </x:c>
      <x:c r="B14" s="24" t="n">
        <x:v>45829</x:v>
      </x:c>
      <x:c r="C14" t="str">
        <x:f>IF(B14="","",TEXT(B14,"mmm-yyyy"))</x:f>
        <x:v>Jun-2025</x:v>
      </x:c>
      <x:c r="D14" t="str">
        <x:f>IF(B14="","",TEXT(B14,"ddd"))</x:f>
        <x:v>Sat</x:v>
      </x:c>
      <x:c r="E14" s="32" t="n">
        <x:v>0.6805555555555556</x:v>
      </x:c>
      <x:c r="F14" s="32" t="n">
        <x:v>0.7361111111111112</x:v>
      </x:c>
      <x:c r="G14" t="n">
        <x:v>0</x:v>
      </x:c>
      <x:c r="H14" s="22" t="n">
        <x:f>IF(OR(B14="",J14&lt;&gt;"Completed"),0,IF(AND(ISNUMBER(E14),ISNUMBER(F14)),ROUND(((F14-E14)+(F14&lt;E14))*24-(N(G14)/60),2),0))</x:f>
        <x:v>1.33</x:v>
      </x:c>
      <x:c r="I14" s="34" t="n">
        <x:f>IF(H14=0,"",H14/24)</x:f>
        <x:v>0.05541666666666667</x:v>
      </x:c>
      <x:c r="J14" t="str">
        <x:v>Completed</x:v>
      </x:c>
      <x:c r="K14" s="22" t="n">
        <x:f>IF(B14="","",START_HERE!$B$7)</x:f>
        <x:v>1.5</x:v>
      </x:c>
      <x:c r="L14" s="22" t="n">
        <x:f>IF(B14="","",ROUND(K14-H14,2))</x:f>
        <x:v>0.17</x:v>
      </x:c>
      <x:c r="M14" t="str">
        <x:v>Page 1</x:v>
      </x:c>
      <x:c r="N14" t="str">
        <x:f>IF(B14="","",IF(J14&lt;&gt;"Completed","Not counted",IF(H14&lt;=0,"CHECK TIME","OK")))</x:f>
        <x:v>OK</x:v>
      </x:c>
    </x:row>
    <x:row r="15">
      <x:c r="A15" t="n">
        <x:f>IF(B15="","",ROW()-1)</x:f>
        <x:v>14</x:v>
      </x:c>
      <x:c r="B15" s="24" t="n">
        <x:v>45830</x:v>
      </x:c>
      <x:c r="C15" t="str">
        <x:f>IF(B15="","",TEXT(B15,"mmm-yyyy"))</x:f>
        <x:v>Jun-2025</x:v>
      </x:c>
      <x:c r="D15" t="str">
        <x:f>IF(B15="","",TEXT(B15,"ddd"))</x:f>
        <x:v>Sun</x:v>
      </x:c>
      <x:c r="E15" s="32" t="n">
        <x:v>0.5486111111111112</x:v>
      </x:c>
      <x:c r="F15" s="32" t="n">
        <x:v>0.6076388888888888</x:v>
      </x:c>
      <x:c r="G15" t="n">
        <x:v>0</x:v>
      </x:c>
      <x:c r="H15" s="22" t="n">
        <x:f>IF(OR(B15="",J15&lt;&gt;"Completed"),0,IF(AND(ISNUMBER(E15),ISNUMBER(F15)),ROUND(((F15-E15)+(F15&lt;E15))*24-(N(G15)/60),2),0))</x:f>
        <x:v>1.42</x:v>
      </x:c>
      <x:c r="I15" s="34" t="n">
        <x:f>IF(H15=0,"",H15/24)</x:f>
        <x:v>0.059166666666666666</x:v>
      </x:c>
      <x:c r="J15" t="str">
        <x:v>Completed</x:v>
      </x:c>
      <x:c r="K15" s="22" t="n">
        <x:f>IF(B15="","",START_HERE!$B$7)</x:f>
        <x:v>1.5</x:v>
      </x:c>
      <x:c r="L15" s="22" t="n">
        <x:f>IF(B15="","",ROUND(K15-H15,2))</x:f>
        <x:v>0.08</x:v>
      </x:c>
      <x:c r="M15" t="str">
        <x:v>Page 1 - Sunday</x:v>
      </x:c>
      <x:c r="N15" t="str">
        <x:f>IF(B15="","",IF(J15&lt;&gt;"Completed","Not counted",IF(H15&lt;=0,"CHECK TIME","OK")))</x:f>
        <x:v>OK</x:v>
      </x:c>
    </x:row>
    <x:row r="16">
      <x:c r="A16" t="n">
        <x:f>IF(B16="","",ROW()-1)</x:f>
        <x:v>15</x:v>
      </x:c>
      <x:c r="B16" s="24" t="n">
        <x:v>45832</x:v>
      </x:c>
      <x:c r="C16" t="str">
        <x:f>IF(B16="","",TEXT(B16,"mmm-yyyy"))</x:f>
        <x:v>Jun-2025</x:v>
      </x:c>
      <x:c r="D16" t="str">
        <x:f>IF(B16="","",TEXT(B16,"ddd"))</x:f>
        <x:v>Tue</x:v>
      </x:c>
      <x:c r="E16" s="32" t="n">
        <x:v>0.5694444444444444</x:v>
      </x:c>
      <x:c r="F16" s="32" t="n">
        <x:v>0.6388888888888888</x:v>
      </x:c>
      <x:c r="G16" t="n">
        <x:v>0</x:v>
      </x:c>
      <x:c r="H16" s="22" t="n">
        <x:f>IF(OR(B16="",J16&lt;&gt;"Completed"),0,IF(AND(ISNUMBER(E16),ISNUMBER(F16)),ROUND(((F16-E16)+(F16&lt;E16))*24-(N(G16)/60),2),0))</x:f>
        <x:v>1.67</x:v>
      </x:c>
      <x:c r="I16" s="34" t="n">
        <x:f>IF(H16=0,"",H16/24)</x:f>
        <x:v>0.06958333333333333</x:v>
      </x:c>
      <x:c r="J16" t="str">
        <x:v>Completed</x:v>
      </x:c>
      <x:c r="K16" s="22" t="n">
        <x:f>IF(B16="","",START_HERE!$B$7)</x:f>
        <x:v>1.5</x:v>
      </x:c>
      <x:c r="L16" s="22" t="n">
        <x:f>IF(B16="","",ROUND(K16-H16,2))</x:f>
        <x:v>-0.17</x:v>
      </x:c>
      <x:c r="M16" t="str">
        <x:v>Page 1</x:v>
      </x:c>
      <x:c r="N16" t="str">
        <x:f>IF(B16="","",IF(J16&lt;&gt;"Completed","Not counted",IF(H16&lt;=0,"CHECK TIME","OK")))</x:f>
        <x:v>OK</x:v>
      </x:c>
    </x:row>
    <x:row r="17">
      <x:c r="A17" t="n">
        <x:f>IF(B17="","",ROW()-1)</x:f>
        <x:v>16</x:v>
      </x:c>
      <x:c r="B17" s="24" t="n">
        <x:v>45833</x:v>
      </x:c>
      <x:c r="C17" t="str">
        <x:f>IF(B17="","",TEXT(B17,"mmm-yyyy"))</x:f>
        <x:v>Jun-2025</x:v>
      </x:c>
      <x:c r="D17" t="str">
        <x:f>IF(B17="","",TEXT(B17,"ddd"))</x:f>
        <x:v>Wed</x:v>
      </x:c>
      <x:c r="E17" s="32" t="n">
        <x:v>0.5625</x:v>
      </x:c>
      <x:c r="F17" s="32" t="n">
        <x:v>0.6458333333333334</x:v>
      </x:c>
      <x:c r="G17" t="n">
        <x:v>0</x:v>
      </x:c>
      <x:c r="H17" s="22" t="n">
        <x:f>IF(OR(B17="",J17&lt;&gt;"Completed"),0,IF(AND(ISNUMBER(E17),ISNUMBER(F17)),ROUND(((F17-E17)+(F17&lt;E17))*24-(N(G17)/60),2),0))</x:f>
        <x:v>2</x:v>
      </x:c>
      <x:c r="I17" s="34" t="n">
        <x:f>IF(H17=0,"",H17/24)</x:f>
        <x:v>0.08333333333333333</x:v>
      </x:c>
      <x:c r="J17" t="str">
        <x:v>Completed</x:v>
      </x:c>
      <x:c r="K17" s="22" t="n">
        <x:f>IF(B17="","",START_HERE!$B$7)</x:f>
        <x:v>1.5</x:v>
      </x:c>
      <x:c r="L17" s="22" t="n">
        <x:f>IF(B17="","",ROUND(K17-H17,2))</x:f>
        <x:v>-0.5</x:v>
      </x:c>
      <x:c r="M17" t="str">
        <x:v>Page 1 - End overwritten</x:v>
      </x:c>
      <x:c r="N17" t="str">
        <x:f>IF(B17="","",IF(J17&lt;&gt;"Completed","Not counted",IF(H17&lt;=0,"CHECK TIME","OK")))</x:f>
        <x:v>OK</x:v>
      </x:c>
    </x:row>
    <x:row r="18">
      <x:c r="A18" t="n">
        <x:f>IF(B18="","",ROW()-1)</x:f>
        <x:v>17</x:v>
      </x:c>
      <x:c r="B18" s="24" t="n">
        <x:v>45834</x:v>
      </x:c>
      <x:c r="C18" t="str">
        <x:f>IF(B18="","",TEXT(B18,"mmm-yyyy"))</x:f>
        <x:v>Jun-2025</x:v>
      </x:c>
      <x:c r="D18" t="str">
        <x:f>IF(B18="","",TEXT(B18,"ddd"))</x:f>
        <x:v>Thu</x:v>
      </x:c>
      <x:c r="E18" s="32" t="n">
        <x:v>0.7638888888888888</x:v>
      </x:c>
      <x:c r="F18" s="32" t="n">
        <x:v>0.8125</x:v>
      </x:c>
      <x:c r="G18" t="n">
        <x:v>0</x:v>
      </x:c>
      <x:c r="H18" s="22" t="n">
        <x:f>IF(OR(B18="",J18&lt;&gt;"Completed"),0,IF(AND(ISNUMBER(E18),ISNUMBER(F18)),ROUND(((F18-E18)+(F18&lt;E18))*24-(N(G18)/60),2),0))</x:f>
        <x:v>1.17</x:v>
      </x:c>
      <x:c r="I18" s="34" t="n">
        <x:f>IF(H18=0,"",H18/24)</x:f>
        <x:v>0.048749999999999995</x:v>
      </x:c>
      <x:c r="J18" t="str">
        <x:v>Completed</x:v>
      </x:c>
      <x:c r="K18" s="22" t="n">
        <x:f>IF(B18="","",START_HERE!$B$7)</x:f>
        <x:v>1.5</x:v>
      </x:c>
      <x:c r="L18" s="22" t="n">
        <x:f>IF(B18="","",ROUND(K18-H18,2))</x:f>
        <x:v>0.33</x:v>
      </x:c>
      <x:c r="M18" t="str">
        <x:v>Page 1</x:v>
      </x:c>
      <x:c r="N18" t="str">
        <x:f>IF(B18="","",IF(J18&lt;&gt;"Completed","Not counted",IF(H18&lt;=0,"CHECK TIME","OK")))</x:f>
        <x:v>OK</x:v>
      </x:c>
    </x:row>
    <x:row r="19">
      <x:c r="A19" t="n">
        <x:f>IF(B19="","",ROW()-1)</x:f>
        <x:v>18</x:v>
      </x:c>
      <x:c r="B19" s="24" t="n">
        <x:v>45835</x:v>
      </x:c>
      <x:c r="C19" t="str">
        <x:f>IF(B19="","",TEXT(B19,"mmm-yyyy"))</x:f>
        <x:v>Jun-2025</x:v>
      </x:c>
      <x:c r="D19" t="str">
        <x:f>IF(B19="","",TEXT(B19,"ddd"))</x:f>
        <x:v>Fri</x:v>
      </x:c>
      <x:c r="E19" s="32" t="n">
        <x:v>0.5069444444444444</x:v>
      </x:c>
      <x:c r="F19" s="32" t="n">
        <x:v>0.5902777777777778</x:v>
      </x:c>
      <x:c r="G19" t="n">
        <x:v>0</x:v>
      </x:c>
      <x:c r="H19" s="22" t="n">
        <x:f>IF(OR(B19="",J19&lt;&gt;"Completed"),0,IF(AND(ISNUMBER(E19),ISNUMBER(F19)),ROUND(((F19-E19)+(F19&lt;E19))*24-(N(G19)/60),2),0))</x:f>
        <x:v>2</x:v>
      </x:c>
      <x:c r="I19" s="34" t="n">
        <x:f>IF(H19=0,"",H19/24)</x:f>
        <x:v>0.08333333333333333</x:v>
      </x:c>
      <x:c r="J19" t="str">
        <x:v>Completed</x:v>
      </x:c>
      <x:c r="K19" s="22" t="n">
        <x:f>IF(B19="","",START_HERE!$B$7)</x:f>
        <x:v>1.5</x:v>
      </x:c>
      <x:c r="L19" s="22" t="n">
        <x:f>IF(B19="","",ROUND(K19-H19,2))</x:f>
        <x:v>-0.5</x:v>
      </x:c>
      <x:c r="M19" t="str">
        <x:v>Page 1</x:v>
      </x:c>
      <x:c r="N19" t="str">
        <x:f>IF(B19="","",IF(J19&lt;&gt;"Completed","Not counted",IF(H19&lt;=0,"CHECK TIME","OK")))</x:f>
        <x:v>OK</x:v>
      </x:c>
    </x:row>
    <x:row r="20">
      <x:c r="A20" t="n">
        <x:f>IF(B20="","",ROW()-1)</x:f>
        <x:v>19</x:v>
      </x:c>
      <x:c r="B20" s="24" t="n">
        <x:v>45836</x:v>
      </x:c>
      <x:c r="C20" t="str">
        <x:f>IF(B20="","",TEXT(B20,"mmm-yyyy"))</x:f>
        <x:v>Jun-2025</x:v>
      </x:c>
      <x:c r="D20" t="str">
        <x:f>IF(B20="","",TEXT(B20,"ddd"))</x:f>
        <x:v>Sat</x:v>
      </x:c>
      <x:c r="E20" s="32" t="n">
        <x:v>0.6875</x:v>
      </x:c>
      <x:c r="F20" s="32" t="n">
        <x:v>0.7708333333333334</x:v>
      </x:c>
      <x:c r="G20" t="n">
        <x:v>0</x:v>
      </x:c>
      <x:c r="H20" s="22" t="n">
        <x:f>IF(OR(B20="",J20&lt;&gt;"Completed"),0,IF(AND(ISNUMBER(E20),ISNUMBER(F20)),ROUND(((F20-E20)+(F20&lt;E20))*24-(N(G20)/60),2),0))</x:f>
        <x:v>2</x:v>
      </x:c>
      <x:c r="I20" s="34" t="n">
        <x:f>IF(H20=0,"",H20/24)</x:f>
        <x:v>0.08333333333333333</x:v>
      </x:c>
      <x:c r="J20" t="str">
        <x:v>Completed</x:v>
      </x:c>
      <x:c r="K20" s="22" t="n">
        <x:f>IF(B20="","",START_HERE!$B$7)</x:f>
        <x:v>1.5</x:v>
      </x:c>
      <x:c r="L20" s="22" t="n">
        <x:f>IF(B20="","",ROUND(K20-H20,2))</x:f>
        <x:v>-0.5</x:v>
      </x:c>
      <x:c r="M20" t="str">
        <x:v>Page 1</x:v>
      </x:c>
      <x:c r="N20" t="str">
        <x:f>IF(B20="","",IF(J20&lt;&gt;"Completed","Not counted",IF(H20&lt;=0,"CHECK TIME","OK")))</x:f>
        <x:v>OK</x:v>
      </x:c>
    </x:row>
    <x:row r="21">
      <x:c r="A21" t="n">
        <x:f>IF(B21="","",ROW()-1)</x:f>
        <x:v>20</x:v>
      </x:c>
      <x:c r="B21" s="24" t="n">
        <x:v>45839</x:v>
      </x:c>
      <x:c r="C21" t="str">
        <x:f>IF(B21="","",TEXT(B21,"mmm-yyyy"))</x:f>
        <x:v>Jul-2025</x:v>
      </x:c>
      <x:c r="D21" t="str">
        <x:f>IF(B21="","",TEXT(B21,"ddd"))</x:f>
        <x:v>Tue</x:v>
      </x:c>
      <x:c r="E21" s="32" t="n">
        <x:v>0.5763888888888888</x:v>
      </x:c>
      <x:c r="F21" s="32" t="n">
        <x:v>0.6701388888888888</x:v>
      </x:c>
      <x:c r="G21" t="n">
        <x:v>0</x:v>
      </x:c>
      <x:c r="H21" s="22" t="n">
        <x:f>IF(OR(B21="",J21&lt;&gt;"Completed"),0,IF(AND(ISNUMBER(E21),ISNUMBER(F21)),ROUND(((F21-E21)+(F21&lt;E21))*24-(N(G21)/60),2),0))</x:f>
        <x:v>2.25</x:v>
      </x:c>
      <x:c r="I21" s="34" t="n">
        <x:f>IF(H21=0,"",H21/24)</x:f>
        <x:v>0.09375</x:v>
      </x:c>
      <x:c r="J21" t="str">
        <x:v>Completed</x:v>
      </x:c>
      <x:c r="K21" s="22" t="n">
        <x:f>IF(B21="","",START_HERE!$B$7)</x:f>
        <x:v>1.5</x:v>
      </x:c>
      <x:c r="L21" s="22" t="n">
        <x:f>IF(B21="","",ROUND(K21-H21,2))</x:f>
        <x:v>-0.75</x:v>
      </x:c>
      <x:c r="M21" t="str">
        <x:v>Page 1</x:v>
      </x:c>
      <x:c r="N21" t="str">
        <x:f>IF(B21="","",IF(J21&lt;&gt;"Completed","Not counted",IF(H21&lt;=0,"CHECK TIME","OK")))</x:f>
        <x:v>OK</x:v>
      </x:c>
    </x:row>
    <x:row r="22">
      <x:c r="A22" t="n">
        <x:f>IF(B22="","",ROW()-1)</x:f>
        <x:v>21</x:v>
      </x:c>
      <x:c r="B22" s="24" t="n">
        <x:v>45840</x:v>
      </x:c>
      <x:c r="C22" t="str">
        <x:f>IF(B22="","",TEXT(B22,"mmm-yyyy"))</x:f>
        <x:v>Jul-2025</x:v>
      </x:c>
      <x:c r="D22" t="str">
        <x:f>IF(B22="","",TEXT(B22,"ddd"))</x:f>
        <x:v>Wed</x:v>
      </x:c>
      <x:c r="E22" s="32" t="n">
        <x:v>0.6666666666666666</x:v>
      </x:c>
      <x:c r="F22" s="32" t="n">
        <x:v>0.7291666666666666</x:v>
      </x:c>
      <x:c r="G22" t="n">
        <x:v>0</x:v>
      </x:c>
      <x:c r="H22" s="22" t="n">
        <x:f>IF(OR(B22="",J22&lt;&gt;"Completed"),0,IF(AND(ISNUMBER(E22),ISNUMBER(F22)),ROUND(((F22-E22)+(F22&lt;E22))*24-(N(G22)/60),2),0))</x:f>
        <x:v>1.5</x:v>
      </x:c>
      <x:c r="I22" s="34" t="n">
        <x:f>IF(H22=0,"",H22/24)</x:f>
        <x:v>0.0625</x:v>
      </x:c>
      <x:c r="J22" t="str">
        <x:v>Completed</x:v>
      </x:c>
      <x:c r="K22" s="22" t="n">
        <x:f>IF(B22="","",START_HERE!$B$7)</x:f>
        <x:v>1.5</x:v>
      </x:c>
      <x:c r="L22" s="22" t="n">
        <x:f>IF(B22="","",ROUND(K22-H22,2))</x:f>
        <x:v>0</x:v>
      </x:c>
      <x:c r="M22" t="str">
        <x:v>Page 1</x:v>
      </x:c>
      <x:c r="N22" t="str">
        <x:f>IF(B22="","",IF(J22&lt;&gt;"Completed","Not counted",IF(H22&lt;=0,"CHECK TIME","OK")))</x:f>
        <x:v>OK</x:v>
      </x:c>
    </x:row>
    <x:row r="23">
      <x:c r="A23" t="n">
        <x:f>IF(B23="","",ROW()-1)</x:f>
        <x:v>22</x:v>
      </x:c>
      <x:c r="B23" s="24" t="n">
        <x:v>45842</x:v>
      </x:c>
      <x:c r="C23" t="str">
        <x:f>IF(B23="","",TEXT(B23,"mmm-yyyy"))</x:f>
        <x:v>Jul-2025</x:v>
      </x:c>
      <x:c r="D23" t="str">
        <x:f>IF(B23="","",TEXT(B23,"ddd"))</x:f>
        <x:v>Fri</x:v>
      </x:c>
      <x:c r="E23" s="32" t="n">
        <x:v>0.7986111111111112</x:v>
      </x:c>
      <x:c r="F23" s="32" t="n">
        <x:v>0.8611111111111112</x:v>
      </x:c>
      <x:c r="G23" t="n">
        <x:v>0</x:v>
      </x:c>
      <x:c r="H23" s="22" t="n">
        <x:f>IF(OR(B23="",J23&lt;&gt;"Completed"),0,IF(AND(ISNUMBER(E23),ISNUMBER(F23)),ROUND(((F23-E23)+(F23&lt;E23))*24-(N(G23)/60),2),0))</x:f>
        <x:v>1.5</x:v>
      </x:c>
      <x:c r="I23" s="34" t="n">
        <x:f>IF(H23=0,"",H23/24)</x:f>
        <x:v>0.0625</x:v>
      </x:c>
      <x:c r="J23" t="str">
        <x:v>Completed</x:v>
      </x:c>
      <x:c r="K23" s="22" t="n">
        <x:f>IF(B23="","",START_HERE!$B$7)</x:f>
        <x:v>1.5</x:v>
      </x:c>
      <x:c r="L23" s="22" t="n">
        <x:f>IF(B23="","",ROUND(K23-H23,2))</x:f>
        <x:v>0</x:v>
      </x:c>
      <x:c r="M23" t="str">
        <x:v>Page 1</x:v>
      </x:c>
      <x:c r="N23" t="str">
        <x:f>IF(B23="","",IF(J23&lt;&gt;"Completed","Not counted",IF(H23&lt;=0,"CHECK TIME","OK")))</x:f>
        <x:v>OK</x:v>
      </x:c>
    </x:row>
    <x:row r="24">
      <x:c r="A24" t="n">
        <x:f>IF(B24="","",ROW()-1)</x:f>
        <x:v>23</x:v>
      </x:c>
      <x:c r="B24" s="24" t="n">
        <x:v>45846</x:v>
      </x:c>
      <x:c r="C24" t="str">
        <x:f>IF(B24="","",TEXT(B24,"mmm-yyyy"))</x:f>
        <x:v>Jul-2025</x:v>
      </x:c>
      <x:c r="D24" t="str">
        <x:f>IF(B24="","",TEXT(B24,"ddd"))</x:f>
        <x:v>Tue</x:v>
      </x:c>
      <x:c r="E24" s="32" t="n">
        <x:v>0.7708333333333334</x:v>
      </x:c>
      <x:c r="F24" s="32" t="n">
        <x:v>0.8333333333333334</x:v>
      </x:c>
      <x:c r="G24" t="n">
        <x:v>0</x:v>
      </x:c>
      <x:c r="H24" s="22" t="n">
        <x:f>IF(OR(B24="",J24&lt;&gt;"Completed"),0,IF(AND(ISNUMBER(E24),ISNUMBER(F24)),ROUND(((F24-E24)+(F24&lt;E24))*24-(N(G24)/60),2),0))</x:f>
        <x:v>1.5</x:v>
      </x:c>
      <x:c r="I24" s="34" t="n">
        <x:f>IF(H24=0,"",H24/24)</x:f>
        <x:v>0.0625</x:v>
      </x:c>
      <x:c r="J24" t="str">
        <x:v>Completed</x:v>
      </x:c>
      <x:c r="K24" s="22" t="n">
        <x:f>IF(B24="","",START_HERE!$B$7)</x:f>
        <x:v>1.5</x:v>
      </x:c>
      <x:c r="L24" s="22" t="n">
        <x:f>IF(B24="","",ROUND(K24-H24,2))</x:f>
        <x:v>0</x:v>
      </x:c>
      <x:c r="M24" t="str">
        <x:v>Page 1</x:v>
      </x:c>
      <x:c r="N24" t="str">
        <x:f>IF(B24="","",IF(J24&lt;&gt;"Completed","Not counted",IF(H24&lt;=0,"CHECK TIME","OK")))</x:f>
        <x:v>OK</x:v>
      </x:c>
    </x:row>
    <x:row r="25">
      <x:c r="A25" t="n">
        <x:f>IF(B25="","",ROW()-1)</x:f>
        <x:v>24</x:v>
      </x:c>
      <x:c r="B25" s="24" t="n">
        <x:v>45847</x:v>
      </x:c>
      <x:c r="C25" t="str">
        <x:f>IF(B25="","",TEXT(B25,"mmm-yyyy"))</x:f>
        <x:v>Jul-2025</x:v>
      </x:c>
      <x:c r="D25" t="str">
        <x:f>IF(B25="","",TEXT(B25,"ddd"))</x:f>
        <x:v>Wed</x:v>
      </x:c>
      <x:c r="E25" s="32" t="n">
        <x:v>0.8263888888888888</x:v>
      </x:c>
      <x:c r="F25" s="32" t="n">
        <x:v>0.8645833333333334</x:v>
      </x:c>
      <x:c r="G25" t="n">
        <x:v>0</x:v>
      </x:c>
      <x:c r="H25" s="22" t="n">
        <x:f>IF(OR(B25="",J25&lt;&gt;"Completed"),0,IF(AND(ISNUMBER(E25),ISNUMBER(F25)),ROUND(((F25-E25)+(F25&lt;E25))*24-(N(G25)/60),2),0))</x:f>
        <x:v>0.92</x:v>
      </x:c>
      <x:c r="I25" s="34" t="n">
        <x:f>IF(H25=0,"",H25/24)</x:f>
        <x:v>0.03833333333333334</x:v>
      </x:c>
      <x:c r="J25" t="str">
        <x:v>Completed</x:v>
      </x:c>
      <x:c r="K25" s="22" t="n">
        <x:f>IF(B25="","",START_HERE!$B$7)</x:f>
        <x:v>1.5</x:v>
      </x:c>
      <x:c r="L25" s="22" t="n">
        <x:f>IF(B25="","",ROUND(K25-H25,2))</x:f>
        <x:v>0.58</x:v>
      </x:c>
      <x:c r="M25" t="str">
        <x:v>Page 1 - Written duration may be 1:15, time difference 0:55</x:v>
      </x:c>
      <x:c r="N25" t="str">
        <x:f>IF(B25="","",IF(J25&lt;&gt;"Completed","Not counted",IF(H25&lt;=0,"CHECK TIME","OK")))</x:f>
        <x:v>OK</x:v>
      </x:c>
    </x:row>
    <x:row r="26">
      <x:c r="A26" t="n">
        <x:f>IF(B26="","",ROW()-1)</x:f>
        <x:v>25</x:v>
      </x:c>
      <x:c r="B26" s="24" t="n">
        <x:v>45848</x:v>
      </x:c>
      <x:c r="C26" t="str">
        <x:f>IF(B26="","",TEXT(B26,"mmm-yyyy"))</x:f>
        <x:v>Jul-2025</x:v>
      </x:c>
      <x:c r="D26" t="str">
        <x:f>IF(B26="","",TEXT(B26,"ddd"))</x:f>
        <x:v>Thu</x:v>
      </x:c>
      <x:c r="E26" s="32" t="n">
        <x:v>0.7604166666666666</x:v>
      </x:c>
      <x:c r="F26" s="32" t="n">
        <x:v>0.8159722222222222</x:v>
      </x:c>
      <x:c r="G26" t="n">
        <x:v>0</x:v>
      </x:c>
      <x:c r="H26" s="22" t="n">
        <x:f>IF(OR(B26="",J26&lt;&gt;"Completed"),0,IF(AND(ISNUMBER(E26),ISNUMBER(F26)),ROUND(((F26-E26)+(F26&lt;E26))*24-(N(G26)/60),2),0))</x:f>
        <x:v>1.33</x:v>
      </x:c>
      <x:c r="I26" s="34" t="n">
        <x:f>IF(H26=0,"",H26/24)</x:f>
        <x:v>0.05541666666666667</x:v>
      </x:c>
      <x:c r="J26" t="str">
        <x:v>Completed</x:v>
      </x:c>
      <x:c r="K26" s="22" t="n">
        <x:f>IF(B26="","",START_HERE!$B$7)</x:f>
        <x:v>1.5</x:v>
      </x:c>
      <x:c r="L26" s="22" t="n">
        <x:f>IF(B26="","",ROUND(K26-H26,2))</x:f>
        <x:v>0.17</x:v>
      </x:c>
      <x:c r="M26" t="str">
        <x:v>Page 1</x:v>
      </x:c>
      <x:c r="N26" t="str">
        <x:f>IF(B26="","",IF(J26&lt;&gt;"Completed","Not counted",IF(H26&lt;=0,"CHECK TIME","OK")))</x:f>
        <x:v>OK</x:v>
      </x:c>
    </x:row>
    <x:row r="27">
      <x:c r="A27" t="n">
        <x:f>IF(B27="","",ROW()-1)</x:f>
        <x:v>26</x:v>
      </x:c>
      <x:c r="B27" s="24" t="n">
        <x:v>45849</x:v>
      </x:c>
      <x:c r="C27" t="str">
        <x:f>IF(B27="","",TEXT(B27,"mmm-yyyy"))</x:f>
        <x:v>Jul-2025</x:v>
      </x:c>
      <x:c r="D27" t="str">
        <x:f>IF(B27="","",TEXT(B27,"ddd"))</x:f>
        <x:v>Fri</x:v>
      </x:c>
      <x:c r="E27" s="32"/>
      <x:c r="F27" s="32"/>
      <x:c r="G27" t="n">
        <x:v>0</x:v>
      </x:c>
      <x:c r="H27" s="22" t="n">
        <x:f>IF(OR(B27="",J27&lt;&gt;"Completed"),0,IF(AND(ISNUMBER(E27),ISNUMBER(F27)),ROUND(((F27-E27)+(F27&lt;E27))*24-(N(G27)/60),2),0))</x:f>
        <x:v>0</x:v>
      </x:c>
      <x:c r="I27" s="34" t="str">
        <x:f>IF(H27=0,"",H27/24)</x:f>
      </x:c>
      <x:c r="J27" t="str">
        <x:v>Completed</x:v>
      </x:c>
      <x:c r="K27" s="22" t="n">
        <x:f>IF(B27="","",START_HERE!$B$7)</x:f>
        <x:v>1.5</x:v>
      </x:c>
      <x:c r="L27" s="22" t="n">
        <x:f>IF(B27="","",ROUND(K27-H27,2))</x:f>
        <x:v>1.5</x:v>
      </x:c>
      <x:c r="M27" t="str">
        <x:v>Page 1 - Only duration written: 1:00</x:v>
      </x:c>
      <x:c r="N27" t="str">
        <x:f>IF(B27="","",IF(J27&lt;&gt;"Completed","Not counted",IF(H27&lt;=0,"CHECK TIME","OK")))</x:f>
        <x:v>CHECK TIME</x:v>
      </x:c>
    </x:row>
    <x:row r="28">
      <x:c r="A28" t="n">
        <x:f>IF(B28="","",ROW()-1)</x:f>
        <x:v>27</x:v>
      </x:c>
      <x:c r="B28" s="24" t="n">
        <x:v>45851</x:v>
      </x:c>
      <x:c r="C28" t="str">
        <x:f>IF(B28="","",TEXT(B28,"mmm-yyyy"))</x:f>
        <x:v>Jul-2025</x:v>
      </x:c>
      <x:c r="D28" t="str">
        <x:f>IF(B28="","",TEXT(B28,"ddd"))</x:f>
        <x:v>Sun</x:v>
      </x:c>
      <x:c r="E28" s="32" t="n">
        <x:v>0.7673611111111112</x:v>
      </x:c>
      <x:c r="F28" s="32" t="n">
        <x:v>0.8125</x:v>
      </x:c>
      <x:c r="G28" t="n">
        <x:v>0</x:v>
      </x:c>
      <x:c r="H28" s="22" t="n">
        <x:f>IF(OR(B28="",J28&lt;&gt;"Completed"),0,IF(AND(ISNUMBER(E28),ISNUMBER(F28)),ROUND(((F28-E28)+(F28&lt;E28))*24-(N(G28)/60),2),0))</x:f>
        <x:v>1.08</x:v>
      </x:c>
      <x:c r="I28" s="34" t="n">
        <x:f>IF(H28=0,"",H28/24)</x:f>
        <x:v>0.045000000000000005</x:v>
      </x:c>
      <x:c r="J28" t="str">
        <x:v>Completed</x:v>
      </x:c>
      <x:c r="K28" s="22" t="n">
        <x:f>IF(B28="","",START_HERE!$B$7)</x:f>
        <x:v>1.5</x:v>
      </x:c>
      <x:c r="L28" s="22" t="n">
        <x:f>IF(B28="","",ROUND(K28-H28,2))</x:f>
        <x:v>0.42</x:v>
      </x:c>
      <x:c r="M28" t="str">
        <x:v>Page 1 - Sunday</x:v>
      </x:c>
      <x:c r="N28" t="str">
        <x:f>IF(B28="","",IF(J28&lt;&gt;"Completed","Not counted",IF(H28&lt;=0,"CHECK TIME","OK")))</x:f>
        <x:v>OK</x:v>
      </x:c>
    </x:row>
    <x:row r="29">
      <x:c r="A29" t="n">
        <x:f>IF(B29="","",ROW()-1)</x:f>
        <x:v>28</x:v>
      </x:c>
      <x:c r="B29" s="24" t="n">
        <x:v>45852</x:v>
      </x:c>
      <x:c r="C29" t="str">
        <x:f>IF(B29="","",TEXT(B29,"mmm-yyyy"))</x:f>
        <x:v>Jul-2025</x:v>
      </x:c>
      <x:c r="D29" t="str">
        <x:f>IF(B29="","",TEXT(B29,"ddd"))</x:f>
        <x:v>Mon</x:v>
      </x:c>
      <x:c r="E29" s="32" t="n">
        <x:v>0.7951388888888888</x:v>
      </x:c>
      <x:c r="F29" s="32" t="n">
        <x:v>0.8541666666666666</x:v>
      </x:c>
      <x:c r="G29" t="n">
        <x:v>0</x:v>
      </x:c>
      <x:c r="H29" s="22" t="n">
        <x:f>IF(OR(B29="",J29&lt;&gt;"Completed"),0,IF(AND(ISNUMBER(E29),ISNUMBER(F29)),ROUND(((F29-E29)+(F29&lt;E29))*24-(N(G29)/60),2),0))</x:f>
        <x:v>1.42</x:v>
      </x:c>
      <x:c r="I29" s="34" t="n">
        <x:f>IF(H29=0,"",H29/24)</x:f>
        <x:v>0.059166666666666666</x:v>
      </x:c>
      <x:c r="J29" t="str">
        <x:v>Completed</x:v>
      </x:c>
      <x:c r="K29" s="22" t="n">
        <x:f>IF(B29="","",START_HERE!$B$7)</x:f>
        <x:v>1.5</x:v>
      </x:c>
      <x:c r="L29" s="22" t="n">
        <x:f>IF(B29="","",ROUND(K29-H29,2))</x:f>
        <x:v>0.08</x:v>
      </x:c>
      <x:c r="M29" t="str">
        <x:v>Page 1</x:v>
      </x:c>
      <x:c r="N29" t="str">
        <x:f>IF(B29="","",IF(J29&lt;&gt;"Completed","Not counted",IF(H29&lt;=0,"CHECK TIME","OK")))</x:f>
        <x:v>OK</x:v>
      </x:c>
    </x:row>
    <x:row r="30">
      <x:c r="A30" t="n">
        <x:f>IF(B30="","",ROW()-1)</x:f>
        <x:v>29</x:v>
      </x:c>
      <x:c r="B30" s="24" t="n">
        <x:v>45853</x:v>
      </x:c>
      <x:c r="C30" t="str">
        <x:f>IF(B30="","",TEXT(B30,"mmm-yyyy"))</x:f>
        <x:v>Jul-2025</x:v>
      </x:c>
      <x:c r="D30" t="str">
        <x:f>IF(B30="","",TEXT(B30,"ddd"))</x:f>
        <x:v>Tue</x:v>
      </x:c>
      <x:c r="E30" s="32" t="n">
        <x:v>0.6666666666666666</x:v>
      </x:c>
      <x:c r="F30" s="32" t="n">
        <x:v>0.7083333333333334</x:v>
      </x:c>
      <x:c r="G30" t="n">
        <x:v>0</x:v>
      </x:c>
      <x:c r="H30" s="22" t="n">
        <x:f>IF(OR(B30="",J30&lt;&gt;"Completed"),0,IF(AND(ISNUMBER(E30),ISNUMBER(F30)),ROUND(((F30-E30)+(F30&lt;E30))*24-(N(G30)/60),2),0))</x:f>
        <x:v>1</x:v>
      </x:c>
      <x:c r="I30" s="34" t="n">
        <x:f>IF(H30=0,"",H30/24)</x:f>
        <x:v>0.041666666666666664</x:v>
      </x:c>
      <x:c r="J30" t="str">
        <x:v>Completed</x:v>
      </x:c>
      <x:c r="K30" s="22" t="n">
        <x:f>IF(B30="","",START_HERE!$B$7)</x:f>
        <x:v>1.5</x:v>
      </x:c>
      <x:c r="L30" s="22" t="n">
        <x:f>IF(B30="","",ROUND(K30-H30,2))</x:f>
        <x:v>0.5</x:v>
      </x:c>
      <x:c r="M30" t="str">
        <x:v>Page 2</x:v>
      </x:c>
      <x:c r="N30" t="str">
        <x:f>IF(B30="","",IF(J30&lt;&gt;"Completed","Not counted",IF(H30&lt;=0,"CHECK TIME","OK")))</x:f>
        <x:v>OK</x:v>
      </x:c>
    </x:row>
    <x:row r="31">
      <x:c r="A31" t="n">
        <x:f>IF(B31="","",ROW()-1)</x:f>
        <x:v>30</x:v>
      </x:c>
      <x:c r="B31" s="24" t="n">
        <x:v>45855</x:v>
      </x:c>
      <x:c r="C31" t="str">
        <x:f>IF(B31="","",TEXT(B31,"mmm-yyyy"))</x:f>
        <x:v>Jul-2025</x:v>
      </x:c>
      <x:c r="D31" t="str">
        <x:f>IF(B31="","",TEXT(B31,"ddd"))</x:f>
        <x:v>Thu</x:v>
      </x:c>
      <x:c r="E31" s="32" t="n">
        <x:v>0.7118055555555556</x:v>
      </x:c>
      <x:c r="F31" s="32" t="n">
        <x:v>0.7395833333333334</x:v>
      </x:c>
      <x:c r="G31" t="n">
        <x:v>0</x:v>
      </x:c>
      <x:c r="H31" s="22" t="n">
        <x:f>IF(OR(B31="",J31&lt;&gt;"Completed"),0,IF(AND(ISNUMBER(E31),ISNUMBER(F31)),ROUND(((F31-E31)+(F31&lt;E31))*24-(N(G31)/60),2),0))</x:f>
        <x:v>0.67</x:v>
      </x:c>
      <x:c r="I31" s="34" t="n">
        <x:f>IF(H31=0,"",H31/24)</x:f>
        <x:v>0.02791666666666667</x:v>
      </x:c>
      <x:c r="J31" t="str">
        <x:v>Completed</x:v>
      </x:c>
      <x:c r="K31" s="22" t="n">
        <x:f>IF(B31="","",START_HERE!$B$7)</x:f>
        <x:v>1.5</x:v>
      </x:c>
      <x:c r="L31" s="22" t="n">
        <x:f>IF(B31="","",ROUND(K31-H31,2))</x:f>
        <x:v>0.83</x:v>
      </x:c>
      <x:c r="M31" t="str">
        <x:v>Page 2</x:v>
      </x:c>
      <x:c r="N31" t="str">
        <x:f>IF(B31="","",IF(J31&lt;&gt;"Completed","Not counted",IF(H31&lt;=0,"CHECK TIME","OK")))</x:f>
        <x:v>OK</x:v>
      </x:c>
    </x:row>
    <x:row r="32">
      <x:c r="A32" t="n">
        <x:f>IF(B32="","",ROW()-1)</x:f>
        <x:v>31</x:v>
      </x:c>
      <x:c r="B32" s="24" t="n">
        <x:v>45859</x:v>
      </x:c>
      <x:c r="C32" t="str">
        <x:f>IF(B32="","",TEXT(B32,"mmm-yyyy"))</x:f>
        <x:v>Jul-2025</x:v>
      </x:c>
      <x:c r="D32" t="str">
        <x:f>IF(B32="","",TEXT(B32,"ddd"))</x:f>
        <x:v>Mon</x:v>
      </x:c>
      <x:c r="E32" s="32" t="n">
        <x:v>0.7534722222222222</x:v>
      </x:c>
      <x:c r="F32" s="32" t="n">
        <x:v>0.8402777777777778</x:v>
      </x:c>
      <x:c r="G32" t="n">
        <x:v>0</x:v>
      </x:c>
      <x:c r="H32" s="22" t="n">
        <x:f>IF(OR(B32="",J32&lt;&gt;"Completed"),0,IF(AND(ISNUMBER(E32),ISNUMBER(F32)),ROUND(((F32-E32)+(F32&lt;E32))*24-(N(G32)/60),2),0))</x:f>
        <x:v>2.08</x:v>
      </x:c>
      <x:c r="I32" s="34" t="n">
        <x:f>IF(H32=0,"",H32/24)</x:f>
        <x:v>0.08666666666666667</x:v>
      </x:c>
      <x:c r="J32" t="str">
        <x:v>Completed</x:v>
      </x:c>
      <x:c r="K32" s="22" t="n">
        <x:f>IF(B32="","",START_HERE!$B$7)</x:f>
        <x:v>1.5</x:v>
      </x:c>
      <x:c r="L32" s="22" t="n">
        <x:f>IF(B32="","",ROUND(K32-H32,2))</x:f>
        <x:v>-0.58</x:v>
      </x:c>
      <x:c r="M32" t="str">
        <x:v>Page 2</x:v>
      </x:c>
      <x:c r="N32" t="str">
        <x:f>IF(B32="","",IF(J32&lt;&gt;"Completed","Not counted",IF(H32&lt;=0,"CHECK TIME","OK")))</x:f>
        <x:v>OK</x:v>
      </x:c>
    </x:row>
    <x:row r="33">
      <x:c r="A33" t="n">
        <x:f>IF(B33="","",ROW()-1)</x:f>
        <x:v>32</x:v>
      </x:c>
      <x:c r="B33" s="24" t="n">
        <x:v>45863</x:v>
      </x:c>
      <x:c r="C33" t="str">
        <x:f>IF(B33="","",TEXT(B33,"mmm-yyyy"))</x:f>
        <x:v>Jul-2025</x:v>
      </x:c>
      <x:c r="D33" t="str">
        <x:f>IF(B33="","",TEXT(B33,"ddd"))</x:f>
        <x:v>Fri</x:v>
      </x:c>
      <x:c r="E33" s="32" t="n">
        <x:v>0.75</x:v>
      </x:c>
      <x:c r="F33" s="32" t="n">
        <x:v>0.7916666666666666</x:v>
      </x:c>
      <x:c r="G33" t="n">
        <x:v>0</x:v>
      </x:c>
      <x:c r="H33" s="22" t="n">
        <x:f>IF(OR(B33="",J33&lt;&gt;"Completed"),0,IF(AND(ISNUMBER(E33),ISNUMBER(F33)),ROUND(((F33-E33)+(F33&lt;E33))*24-(N(G33)/60),2),0))</x:f>
        <x:v>1</x:v>
      </x:c>
      <x:c r="I33" s="34" t="n">
        <x:f>IF(H33=0,"",H33/24)</x:f>
        <x:v>0.041666666666666664</x:v>
      </x:c>
      <x:c r="J33" t="str">
        <x:v>Completed</x:v>
      </x:c>
      <x:c r="K33" s="22" t="n">
        <x:f>IF(B33="","",START_HERE!$B$7)</x:f>
        <x:v>1.5</x:v>
      </x:c>
      <x:c r="L33" s="22" t="n">
        <x:f>IF(B33="","",ROUND(K33-H33,2))</x:f>
        <x:v>0.5</x:v>
      </x:c>
      <x:c r="M33" t="str">
        <x:v>Page 2</x:v>
      </x:c>
      <x:c r="N33" t="str">
        <x:f>IF(B33="","",IF(J33&lt;&gt;"Completed","Not counted",IF(H33&lt;=0,"CHECK TIME","OK")))</x:f>
        <x:v>OK</x:v>
      </x:c>
    </x:row>
    <x:row r="34">
      <x:c r="A34" t="n">
        <x:f>IF(B34="","",ROW()-1)</x:f>
        <x:v>33</x:v>
      </x:c>
      <x:c r="B34" s="24" t="n">
        <x:v>45865</x:v>
      </x:c>
      <x:c r="C34" t="str">
        <x:f>IF(B34="","",TEXT(B34,"mmm-yyyy"))</x:f>
        <x:v>Jul-2025</x:v>
      </x:c>
      <x:c r="D34" t="str">
        <x:f>IF(B34="","",TEXT(B34,"ddd"))</x:f>
        <x:v>Sun</x:v>
      </x:c>
      <x:c r="E34" s="32" t="n">
        <x:v>0.6736111111111112</x:v>
      </x:c>
      <x:c r="F34" s="32" t="n">
        <x:v>0.7604166666666666</x:v>
      </x:c>
      <x:c r="G34" t="n">
        <x:v>0</x:v>
      </x:c>
      <x:c r="H34" s="22" t="n">
        <x:f>IF(OR(B34="",J34&lt;&gt;"Completed"),0,IF(AND(ISNUMBER(E34),ISNUMBER(F34)),ROUND(((F34-E34)+(F34&lt;E34))*24-(N(G34)/60),2),0))</x:f>
        <x:v>2.08</x:v>
      </x:c>
      <x:c r="I34" s="34" t="n">
        <x:f>IF(H34=0,"",H34/24)</x:f>
        <x:v>0.08666666666666667</x:v>
      </x:c>
      <x:c r="J34" t="str">
        <x:v>Completed</x:v>
      </x:c>
      <x:c r="K34" s="22" t="n">
        <x:f>IF(B34="","",START_HERE!$B$7)</x:f>
        <x:v>1.5</x:v>
      </x:c>
      <x:c r="L34" s="22" t="n">
        <x:f>IF(B34="","",ROUND(K34-H34,2))</x:f>
        <x:v>-0.58</x:v>
      </x:c>
      <x:c r="M34" t="str">
        <x:v>Page 2 - Sunday</x:v>
      </x:c>
      <x:c r="N34" t="str">
        <x:f>IF(B34="","",IF(J34&lt;&gt;"Completed","Not counted",IF(H34&lt;=0,"CHECK TIME","OK")))</x:f>
        <x:v>OK</x:v>
      </x:c>
    </x:row>
    <x:row r="35">
      <x:c r="A35" t="n">
        <x:f>IF(B35="","",ROW()-1)</x:f>
        <x:v>34</x:v>
      </x:c>
      <x:c r="B35" s="24" t="n">
        <x:v>45867</x:v>
      </x:c>
      <x:c r="C35" t="str">
        <x:f>IF(B35="","",TEXT(B35,"mmm-yyyy"))</x:f>
        <x:v>Jul-2025</x:v>
      </x:c>
      <x:c r="D35" t="str">
        <x:f>IF(B35="","",TEXT(B35,"ddd"))</x:f>
        <x:v>Tue</x:v>
      </x:c>
      <x:c r="E35" s="32" t="n">
        <x:v>0.7465277777777778</x:v>
      </x:c>
      <x:c r="F35" s="32" t="n">
        <x:v>0.8541666666666666</x:v>
      </x:c>
      <x:c r="G35" t="n">
        <x:v>0</x:v>
      </x:c>
      <x:c r="H35" s="22" t="n">
        <x:f>IF(OR(B35="",J35&lt;&gt;"Completed"),0,IF(AND(ISNUMBER(E35),ISNUMBER(F35)),ROUND(((F35-E35)+(F35&lt;E35))*24-(N(G35)/60),2),0))</x:f>
        <x:v>2.58</x:v>
      </x:c>
      <x:c r="I35" s="34" t="n">
        <x:f>IF(H35=0,"",H35/24)</x:f>
        <x:v>0.1075</x:v>
      </x:c>
      <x:c r="J35" t="str">
        <x:v>Completed</x:v>
      </x:c>
      <x:c r="K35" s="22" t="n">
        <x:f>IF(B35="","",START_HERE!$B$7)</x:f>
        <x:v>1.5</x:v>
      </x:c>
      <x:c r="L35" s="22" t="n">
        <x:f>IF(B35="","",ROUND(K35-H35,2))</x:f>
        <x:v>-1.08</x:v>
      </x:c>
      <x:c r="M35" t="str">
        <x:v>Page 2</x:v>
      </x:c>
      <x:c r="N35" t="str">
        <x:f>IF(B35="","",IF(J35&lt;&gt;"Completed","Not counted",IF(H35&lt;=0,"CHECK TIME","OK")))</x:f>
        <x:v>OK</x:v>
      </x:c>
    </x:row>
    <x:row r="36">
      <x:c r="A36" t="n">
        <x:f>IF(B36="","",ROW()-1)</x:f>
        <x:v>35</x:v>
      </x:c>
      <x:c r="B36" s="24" t="n">
        <x:v>45871</x:v>
      </x:c>
      <x:c r="C36" t="str">
        <x:f>IF(B36="","",TEXT(B36,"mmm-yyyy"))</x:f>
        <x:v>Aug-2025</x:v>
      </x:c>
      <x:c r="D36" t="str">
        <x:f>IF(B36="","",TEXT(B36,"ddd"))</x:f>
        <x:v>Sat</x:v>
      </x:c>
      <x:c r="E36" s="32" t="n">
        <x:v>0.5347222222222222</x:v>
      </x:c>
      <x:c r="F36" s="32" t="n">
        <x:v>0.6145833333333334</x:v>
      </x:c>
      <x:c r="G36" t="n">
        <x:v>0</x:v>
      </x:c>
      <x:c r="H36" s="22" t="n">
        <x:f>IF(OR(B36="",J36&lt;&gt;"Completed"),0,IF(AND(ISNUMBER(E36),ISNUMBER(F36)),ROUND(((F36-E36)+(F36&lt;E36))*24-(N(G36)/60),2),0))</x:f>
        <x:v>1.92</x:v>
      </x:c>
      <x:c r="I36" s="34" t="n">
        <x:f>IF(H36=0,"",H36/24)</x:f>
        <x:v>0.08</x:v>
      </x:c>
      <x:c r="J36" t="str">
        <x:v>Completed</x:v>
      </x:c>
      <x:c r="K36" s="22" t="n">
        <x:f>IF(B36="","",START_HERE!$B$7)</x:f>
        <x:v>1.5</x:v>
      </x:c>
      <x:c r="L36" s="22" t="n">
        <x:f>IF(B36="","",ROUND(K36-H36,2))</x:f>
        <x:v>-0.42</x:v>
      </x:c>
      <x:c r="M36" t="str">
        <x:v>Page 2</x:v>
      </x:c>
      <x:c r="N36" t="str">
        <x:f>IF(B36="","",IF(J36&lt;&gt;"Completed","Not counted",IF(H36&lt;=0,"CHECK TIME","OK")))</x:f>
        <x:v>OK</x:v>
      </x:c>
    </x:row>
    <x:row r="37">
      <x:c r="A37" t="n">
        <x:f>IF(B37="","",ROW()-1)</x:f>
        <x:v>36</x:v>
      </x:c>
      <x:c r="B37" s="24" t="n">
        <x:v>45872</x:v>
      </x:c>
      <x:c r="C37" t="str">
        <x:f>IF(B37="","",TEXT(B37,"mmm-yyyy"))</x:f>
        <x:v>Aug-2025</x:v>
      </x:c>
      <x:c r="D37" t="str">
        <x:f>IF(B37="","",TEXT(B37,"ddd"))</x:f>
        <x:v>Sun</x:v>
      </x:c>
      <x:c r="E37" s="32" t="n">
        <x:v>0.7430555555555556</x:v>
      </x:c>
      <x:c r="F37" s="32" t="n">
        <x:v>0.7847222222222222</x:v>
      </x:c>
      <x:c r="G37" t="n">
        <x:v>0</x:v>
      </x:c>
      <x:c r="H37" s="22" t="n">
        <x:f>IF(OR(B37="",J37&lt;&gt;"Completed"),0,IF(AND(ISNUMBER(E37),ISNUMBER(F37)),ROUND(((F37-E37)+(F37&lt;E37))*24-(N(G37)/60),2),0))</x:f>
        <x:v>1</x:v>
      </x:c>
      <x:c r="I37" s="34" t="n">
        <x:f>IF(H37=0,"",H37/24)</x:f>
        <x:v>0.041666666666666664</x:v>
      </x:c>
      <x:c r="J37" t="str">
        <x:v>Completed</x:v>
      </x:c>
      <x:c r="K37" s="22" t="n">
        <x:f>IF(B37="","",START_HERE!$B$7)</x:f>
        <x:v>1.5</x:v>
      </x:c>
      <x:c r="L37" s="22" t="n">
        <x:f>IF(B37="","",ROUND(K37-H37,2))</x:f>
        <x:v>0.5</x:v>
      </x:c>
      <x:c r="M37" t="str">
        <x:v>Page 2 - Sunday</x:v>
      </x:c>
      <x:c r="N37" t="str">
        <x:f>IF(B37="","",IF(J37&lt;&gt;"Completed","Not counted",IF(H37&lt;=0,"CHECK TIME","OK")))</x:f>
        <x:v>OK</x:v>
      </x:c>
    </x:row>
    <x:row r="38">
      <x:c r="A38" t="n">
        <x:f>IF(B38="","",ROW()-1)</x:f>
        <x:v>37</x:v>
      </x:c>
      <x:c r="B38" s="24" t="n">
        <x:v>45874</x:v>
      </x:c>
      <x:c r="C38" t="str">
        <x:f>IF(B38="","",TEXT(B38,"mmm-yyyy"))</x:f>
        <x:v>Aug-2025</x:v>
      </x:c>
      <x:c r="D38" t="str">
        <x:f>IF(B38="","",TEXT(B38,"ddd"))</x:f>
        <x:v>Tue</x:v>
      </x:c>
      <x:c r="E38" s="32" t="n">
        <x:v>0.6875</x:v>
      </x:c>
      <x:c r="F38" s="32" t="n">
        <x:v>0.75</x:v>
      </x:c>
      <x:c r="G38" t="n">
        <x:v>0</x:v>
      </x:c>
      <x:c r="H38" s="22" t="n">
        <x:f>IF(OR(B38="",J38&lt;&gt;"Completed"),0,IF(AND(ISNUMBER(E38),ISNUMBER(F38)),ROUND(((F38-E38)+(F38&lt;E38))*24-(N(G38)/60),2),0))</x:f>
        <x:v>1.5</x:v>
      </x:c>
      <x:c r="I38" s="34" t="n">
        <x:f>IF(H38=0,"",H38/24)</x:f>
        <x:v>0.0625</x:v>
      </x:c>
      <x:c r="J38" t="str">
        <x:v>Completed</x:v>
      </x:c>
      <x:c r="K38" s="22" t="n">
        <x:f>IF(B38="","",START_HERE!$B$7)</x:f>
        <x:v>1.5</x:v>
      </x:c>
      <x:c r="L38" s="22" t="n">
        <x:f>IF(B38="","",ROUND(K38-H38,2))</x:f>
        <x:v>0</x:v>
      </x:c>
      <x:c r="M38" t="str">
        <x:v>Page 2</x:v>
      </x:c>
      <x:c r="N38" t="str">
        <x:f>IF(B38="","",IF(J38&lt;&gt;"Completed","Not counted",IF(H38&lt;=0,"CHECK TIME","OK")))</x:f>
        <x:v>OK</x:v>
      </x:c>
    </x:row>
    <x:row r="39">
      <x:c r="A39" t="n">
        <x:f>IF(B39="","",ROW()-1)</x:f>
        <x:v>38</x:v>
      </x:c>
      <x:c r="B39" s="24" t="n">
        <x:v>45875</x:v>
      </x:c>
      <x:c r="C39" t="str">
        <x:f>IF(B39="","",TEXT(B39,"mmm-yyyy"))</x:f>
        <x:v>Aug-2025</x:v>
      </x:c>
      <x:c r="D39" t="str">
        <x:f>IF(B39="","",TEXT(B39,"ddd"))</x:f>
        <x:v>Wed</x:v>
      </x:c>
      <x:c r="E39" s="32" t="n">
        <x:v>0.7118055555555556</x:v>
      </x:c>
      <x:c r="F39" s="32" t="n">
        <x:v>0.7708333333333334</x:v>
      </x:c>
      <x:c r="G39" t="n">
        <x:v>0</x:v>
      </x:c>
      <x:c r="H39" s="22" t="n">
        <x:f>IF(OR(B39="",J39&lt;&gt;"Completed"),0,IF(AND(ISNUMBER(E39),ISNUMBER(F39)),ROUND(((F39-E39)+(F39&lt;E39))*24-(N(G39)/60),2),0))</x:f>
        <x:v>1.42</x:v>
      </x:c>
      <x:c r="I39" s="34" t="n">
        <x:f>IF(H39=0,"",H39/24)</x:f>
        <x:v>0.059166666666666666</x:v>
      </x:c>
      <x:c r="J39" t="str">
        <x:v>Completed</x:v>
      </x:c>
      <x:c r="K39" s="22" t="n">
        <x:f>IF(B39="","",START_HERE!$B$7)</x:f>
        <x:v>1.5</x:v>
      </x:c>
      <x:c r="L39" s="22" t="n">
        <x:f>IF(B39="","",ROUND(K39-H39,2))</x:f>
        <x:v>0.08</x:v>
      </x:c>
      <x:c r="M39" t="str">
        <x:v>Page 2</x:v>
      </x:c>
      <x:c r="N39" t="str">
        <x:f>IF(B39="","",IF(J39&lt;&gt;"Completed","Not counted",IF(H39&lt;=0,"CHECK TIME","OK")))</x:f>
        <x:v>OK</x:v>
      </x:c>
    </x:row>
    <x:row r="40">
      <x:c r="A40" t="n">
        <x:f>IF(B40="","",ROW()-1)</x:f>
        <x:v>39</x:v>
      </x:c>
      <x:c r="B40" s="24" t="n">
        <x:v>45877</x:v>
      </x:c>
      <x:c r="C40" t="str">
        <x:f>IF(B40="","",TEXT(B40,"mmm-yyyy"))</x:f>
        <x:v>Aug-2025</x:v>
      </x:c>
      <x:c r="D40" t="str">
        <x:f>IF(B40="","",TEXT(B40,"ddd"))</x:f>
        <x:v>Fri</x:v>
      </x:c>
      <x:c r="E40" s="32" t="n">
        <x:v>0.8715277777777778</x:v>
      </x:c>
      <x:c r="F40" s="32" t="n">
        <x:v>0.9201388888888888</x:v>
      </x:c>
      <x:c r="G40" t="n">
        <x:v>0</x:v>
      </x:c>
      <x:c r="H40" s="22" t="n">
        <x:f>IF(OR(B40="",J40&lt;&gt;"Completed"),0,IF(AND(ISNUMBER(E40),ISNUMBER(F40)),ROUND(((F40-E40)+(F40&lt;E40))*24-(N(G40)/60),2),0))</x:f>
        <x:v>1.17</x:v>
      </x:c>
      <x:c r="I40" s="34" t="n">
        <x:f>IF(H40=0,"",H40/24)</x:f>
        <x:v>0.048749999999999995</x:v>
      </x:c>
      <x:c r="J40" t="str">
        <x:v>Completed</x:v>
      </x:c>
      <x:c r="K40" s="22" t="n">
        <x:f>IF(B40="","",START_HERE!$B$7)</x:f>
        <x:v>1.5</x:v>
      </x:c>
      <x:c r="L40" s="22" t="n">
        <x:f>IF(B40="","",ROUND(K40-H40,2))</x:f>
        <x:v>0.33</x:v>
      </x:c>
      <x:c r="M40" t="str">
        <x:v>Page 2</x:v>
      </x:c>
      <x:c r="N40" t="str">
        <x:f>IF(B40="","",IF(J40&lt;&gt;"Completed","Not counted",IF(H40&lt;=0,"CHECK TIME","OK")))</x:f>
        <x:v>OK</x:v>
      </x:c>
    </x:row>
    <x:row r="41">
      <x:c r="A41" t="n">
        <x:f>IF(B41="","",ROW()-1)</x:f>
        <x:v>40</x:v>
      </x:c>
      <x:c r="B41" s="24" t="n">
        <x:v>45880</x:v>
      </x:c>
      <x:c r="C41" t="str">
        <x:f>IF(B41="","",TEXT(B41,"mmm-yyyy"))</x:f>
        <x:v>Aug-2025</x:v>
      </x:c>
      <x:c r="D41" t="str">
        <x:f>IF(B41="","",TEXT(B41,"ddd"))</x:f>
        <x:v>Mon</x:v>
      </x:c>
      <x:c r="E41" s="32"/>
      <x:c r="F41" s="32"/>
      <x:c r="G41" t="n">
        <x:v>0</x:v>
      </x:c>
      <x:c r="H41" s="22" t="n">
        <x:f>IF(OR(B41="",J41&lt;&gt;"Completed"),0,IF(AND(ISNUMBER(E41),ISNUMBER(F41)),ROUND(((F41-E41)+(F41&lt;E41))*24-(N(G41)/60),2),0))</x:f>
        <x:v>0</x:v>
      </x:c>
      <x:c r="I41" s="34" t="str">
        <x:f>IF(H41=0,"",H41/24)</x:f>
      </x:c>
      <x:c r="J41" t="str">
        <x:v>Completed</x:v>
      </x:c>
      <x:c r="K41" s="22" t="n">
        <x:f>IF(B41="","",START_HERE!$B$7)</x:f>
        <x:v>1.5</x:v>
      </x:c>
      <x:c r="L41" s="22" t="n">
        <x:f>IF(B41="","",ROUND(K41-H41,2))</x:f>
        <x:v>1.5</x:v>
      </x:c>
      <x:c r="M41" t="str">
        <x:v>Page 2 - Only duration written: 1:05</x:v>
      </x:c>
      <x:c r="N41" t="str">
        <x:f>IF(B41="","",IF(J41&lt;&gt;"Completed","Not counted",IF(H41&lt;=0,"CHECK TIME","OK")))</x:f>
        <x:v>CHECK TIME</x:v>
      </x:c>
    </x:row>
    <x:row r="42">
      <x:c r="A42" t="n">
        <x:f>IF(B42="","",ROW()-1)</x:f>
        <x:v>41</x:v>
      </x:c>
      <x:c r="B42" s="24" t="n">
        <x:v>45884</x:v>
      </x:c>
      <x:c r="C42" t="str">
        <x:f>IF(B42="","",TEXT(B42,"mmm-yyyy"))</x:f>
        <x:v>Aug-2025</x:v>
      </x:c>
      <x:c r="D42" t="str">
        <x:f>IF(B42="","",TEXT(B42,"ddd"))</x:f>
        <x:v>Fri</x:v>
      </x:c>
      <x:c r="E42" s="32" t="n">
        <x:v>0.5590277777777778</x:v>
      </x:c>
      <x:c r="F42" s="32" t="n">
        <x:v>0.6805555555555556</x:v>
      </x:c>
      <x:c r="G42" t="n">
        <x:v>0</x:v>
      </x:c>
      <x:c r="H42" s="22" t="n">
        <x:f>IF(OR(B42="",J42&lt;&gt;"Completed"),0,IF(AND(ISNUMBER(E42),ISNUMBER(F42)),ROUND(((F42-E42)+(F42&lt;E42))*24-(N(G42)/60),2),0))</x:f>
        <x:v>2.92</x:v>
      </x:c>
      <x:c r="I42" s="34" t="n">
        <x:f>IF(H42=0,"",H42/24)</x:f>
        <x:v>0.12166666666666666</x:v>
      </x:c>
      <x:c r="J42" t="str">
        <x:v>Completed</x:v>
      </x:c>
      <x:c r="K42" s="22" t="n">
        <x:f>IF(B42="","",START_HERE!$B$7)</x:f>
        <x:v>1.5</x:v>
      </x:c>
      <x:c r="L42" s="22" t="n">
        <x:f>IF(B42="","",ROUND(K42-H42,2))</x:f>
        <x:v>-1.42</x:v>
      </x:c>
      <x:c r="M42" t="str">
        <x:v>Page 2 - Duration unclear; computed from visible times</x:v>
      </x:c>
      <x:c r="N42" t="str">
        <x:f>IF(B42="","",IF(J42&lt;&gt;"Completed","Not counted",IF(H42&lt;=0,"CHECK TIME","OK")))</x:f>
        <x:v>OK</x:v>
      </x:c>
    </x:row>
    <x:row r="43">
      <x:c r="A43" t="n">
        <x:f>IF(B43="","",ROW()-1)</x:f>
        <x:v>42</x:v>
      </x:c>
      <x:c r="B43" s="24" t="n">
        <x:v>45886</x:v>
      </x:c>
      <x:c r="C43" t="str">
        <x:f>IF(B43="","",TEXT(B43,"mmm-yyyy"))</x:f>
        <x:v>Aug-2025</x:v>
      </x:c>
      <x:c r="D43" t="str">
        <x:f>IF(B43="","",TEXT(B43,"ddd"))</x:f>
        <x:v>Sun</x:v>
      </x:c>
      <x:c r="E43" s="32" t="n">
        <x:v>0.7326388888888888</x:v>
      </x:c>
      <x:c r="F43" s="32" t="n">
        <x:v>0.7777777777777778</x:v>
      </x:c>
      <x:c r="G43" t="n">
        <x:v>0</x:v>
      </x:c>
      <x:c r="H43" s="22" t="n">
        <x:f>IF(OR(B43="",J43&lt;&gt;"Completed"),0,IF(AND(ISNUMBER(E43),ISNUMBER(F43)),ROUND(((F43-E43)+(F43&lt;E43))*24-(N(G43)/60),2),0))</x:f>
        <x:v>1.08</x:v>
      </x:c>
      <x:c r="I43" s="34" t="n">
        <x:f>IF(H43=0,"",H43/24)</x:f>
        <x:v>0.045000000000000005</x:v>
      </x:c>
      <x:c r="J43" t="str">
        <x:v>Completed</x:v>
      </x:c>
      <x:c r="K43" s="22" t="n">
        <x:f>IF(B43="","",START_HERE!$B$7)</x:f>
        <x:v>1.5</x:v>
      </x:c>
      <x:c r="L43" s="22" t="n">
        <x:f>IF(B43="","",ROUND(K43-H43,2))</x:f>
        <x:v>0.42</x:v>
      </x:c>
      <x:c r="M43" t="str">
        <x:v>Page 2 - Sunday</x:v>
      </x:c>
      <x:c r="N43" t="str">
        <x:f>IF(B43="","",IF(J43&lt;&gt;"Completed","Not counted",IF(H43&lt;=0,"CHECK TIME","OK")))</x:f>
        <x:v>OK</x:v>
      </x:c>
    </x:row>
    <x:row r="44">
      <x:c r="A44" t="n">
        <x:f>IF(B44="","",ROW()-1)</x:f>
        <x:v>43</x:v>
      </x:c>
      <x:c r="B44" s="24" t="n">
        <x:v>45887</x:v>
      </x:c>
      <x:c r="C44" t="str">
        <x:f>IF(B44="","",TEXT(B44,"mmm-yyyy"))</x:f>
        <x:v>Aug-2025</x:v>
      </x:c>
      <x:c r="D44" t="str">
        <x:f>IF(B44="","",TEXT(B44,"ddd"))</x:f>
        <x:v>Mon</x:v>
      </x:c>
      <x:c r="E44" s="32" t="n">
        <x:v>0.7430555555555556</x:v>
      </x:c>
      <x:c r="F44" s="32" t="n">
        <x:v>0.78125</x:v>
      </x:c>
      <x:c r="G44" t="n">
        <x:v>0</x:v>
      </x:c>
      <x:c r="H44" s="22" t="n">
        <x:f>IF(OR(B44="",J44&lt;&gt;"Completed"),0,IF(AND(ISNUMBER(E44),ISNUMBER(F44)),ROUND(((F44-E44)+(F44&lt;E44))*24-(N(G44)/60),2),0))</x:f>
        <x:v>0.92</x:v>
      </x:c>
      <x:c r="I44" s="34" t="n">
        <x:f>IF(H44=0,"",H44/24)</x:f>
        <x:v>0.03833333333333334</x:v>
      </x:c>
      <x:c r="J44" t="str">
        <x:v>Completed</x:v>
      </x:c>
      <x:c r="K44" s="22" t="n">
        <x:f>IF(B44="","",START_HERE!$B$7)</x:f>
        <x:v>1.5</x:v>
      </x:c>
      <x:c r="L44" s="22" t="n">
        <x:f>IF(B44="","",ROUND(K44-H44,2))</x:f>
        <x:v>0.58</x:v>
      </x:c>
      <x:c r="M44" t="str">
        <x:v>Page 2</x:v>
      </x:c>
      <x:c r="N44" t="str">
        <x:f>IF(B44="","",IF(J44&lt;&gt;"Completed","Not counted",IF(H44&lt;=0,"CHECK TIME","OK")))</x:f>
        <x:v>OK</x:v>
      </x:c>
    </x:row>
    <x:row r="45">
      <x:c r="A45" t="n">
        <x:f>IF(B45="","",ROW()-1)</x:f>
        <x:v>44</x:v>
      </x:c>
      <x:c r="B45" s="24" t="n">
        <x:v>45890</x:v>
      </x:c>
      <x:c r="C45" t="str">
        <x:f>IF(B45="","",TEXT(B45,"mmm-yyyy"))</x:f>
        <x:v>Aug-2025</x:v>
      </x:c>
      <x:c r="D45" t="str">
        <x:f>IF(B45="","",TEXT(B45,"ddd"))</x:f>
        <x:v>Thu</x:v>
      </x:c>
      <x:c r="E45" s="32" t="n">
        <x:v>0.8333333333333334</x:v>
      </x:c>
      <x:c r="F45" s="32" t="n">
        <x:v>0.875</x:v>
      </x:c>
      <x:c r="G45" t="n">
        <x:v>0</x:v>
      </x:c>
      <x:c r="H45" s="22" t="n">
        <x:f>IF(OR(B45="",J45&lt;&gt;"Completed"),0,IF(AND(ISNUMBER(E45),ISNUMBER(F45)),ROUND(((F45-E45)+(F45&lt;E45))*24-(N(G45)/60),2),0))</x:f>
        <x:v>1</x:v>
      </x:c>
      <x:c r="I45" s="34" t="n">
        <x:f>IF(H45=0,"",H45/24)</x:f>
        <x:v>0.041666666666666664</x:v>
      </x:c>
      <x:c r="J45" t="str">
        <x:v>Completed</x:v>
      </x:c>
      <x:c r="K45" s="22" t="n">
        <x:f>IF(B45="","",START_HERE!$B$7)</x:f>
        <x:v>1.5</x:v>
      </x:c>
      <x:c r="L45" s="22" t="n">
        <x:f>IF(B45="","",ROUND(K45-H45,2))</x:f>
        <x:v>0.5</x:v>
      </x:c>
      <x:c r="M45" t="str">
        <x:v>Page 2</x:v>
      </x:c>
      <x:c r="N45" t="str">
        <x:f>IF(B45="","",IF(J45&lt;&gt;"Completed","Not counted",IF(H45&lt;=0,"CHECK TIME","OK")))</x:f>
        <x:v>OK</x:v>
      </x:c>
    </x:row>
    <x:row r="46">
      <x:c r="A46" t="n">
        <x:f>IF(B46="","",ROW()-1)</x:f>
        <x:v>45</x:v>
      </x:c>
      <x:c r="B46" s="24" t="n">
        <x:v>45892</x:v>
      </x:c>
      <x:c r="C46" t="str">
        <x:f>IF(B46="","",TEXT(B46,"mmm-yyyy"))</x:f>
        <x:v>Aug-2025</x:v>
      </x:c>
      <x:c r="D46" t="str">
        <x:f>IF(B46="","",TEXT(B46,"ddd"))</x:f>
        <x:v>Sat</x:v>
      </x:c>
      <x:c r="E46" s="32" t="n">
        <x:v>0.5729166666666666</x:v>
      </x:c>
      <x:c r="F46" s="32" t="n">
        <x:v>0.6145833333333334</x:v>
      </x:c>
      <x:c r="G46" t="n">
        <x:v>0</x:v>
      </x:c>
      <x:c r="H46" s="22" t="n">
        <x:f>IF(OR(B46="",J46&lt;&gt;"Completed"),0,IF(AND(ISNUMBER(E46),ISNUMBER(F46)),ROUND(((F46-E46)+(F46&lt;E46))*24-(N(G46)/60),2),0))</x:f>
        <x:v>1</x:v>
      </x:c>
      <x:c r="I46" s="34" t="n">
        <x:f>IF(H46=0,"",H46/24)</x:f>
        <x:v>0.041666666666666664</x:v>
      </x:c>
      <x:c r="J46" t="str">
        <x:v>Completed</x:v>
      </x:c>
      <x:c r="K46" s="22" t="n">
        <x:f>IF(B46="","",START_HERE!$B$7)</x:f>
        <x:v>1.5</x:v>
      </x:c>
      <x:c r="L46" s="22" t="n">
        <x:f>IF(B46="","",ROUND(K46-H46,2))</x:f>
        <x:v>0.5</x:v>
      </x:c>
      <x:c r="M46" t="str">
        <x:v>Page 2</x:v>
      </x:c>
      <x:c r="N46" t="str">
        <x:f>IF(B46="","",IF(J46&lt;&gt;"Completed","Not counted",IF(H46&lt;=0,"CHECK TIME","OK")))</x:f>
        <x:v>OK</x:v>
      </x:c>
    </x:row>
    <x:row r="47">
      <x:c r="A47" t="n">
        <x:f>IF(B47="","",ROW()-1)</x:f>
        <x:v>46</x:v>
      </x:c>
      <x:c r="B47" s="24" t="n">
        <x:v>45895</x:v>
      </x:c>
      <x:c r="C47" t="str">
        <x:f>IF(B47="","",TEXT(B47,"mmm-yyyy"))</x:f>
        <x:v>Aug-2025</x:v>
      </x:c>
      <x:c r="D47" t="str">
        <x:f>IF(B47="","",TEXT(B47,"ddd"))</x:f>
        <x:v>Tue</x:v>
      </x:c>
      <x:c r="E47" s="32" t="n">
        <x:v>0.8402777777777778</x:v>
      </x:c>
      <x:c r="F47" s="32" t="n">
        <x:v>0.8854166666666666</x:v>
      </x:c>
      <x:c r="G47" t="n">
        <x:v>0</x:v>
      </x:c>
      <x:c r="H47" s="22" t="n">
        <x:f>IF(OR(B47="",J47&lt;&gt;"Completed"),0,IF(AND(ISNUMBER(E47),ISNUMBER(F47)),ROUND(((F47-E47)+(F47&lt;E47))*24-(N(G47)/60),2),0))</x:f>
        <x:v>1.08</x:v>
      </x:c>
      <x:c r="I47" s="34" t="n">
        <x:f>IF(H47=0,"",H47/24)</x:f>
        <x:v>0.045000000000000005</x:v>
      </x:c>
      <x:c r="J47" t="str">
        <x:v>Completed</x:v>
      </x:c>
      <x:c r="K47" s="22" t="n">
        <x:f>IF(B47="","",START_HERE!$B$7)</x:f>
        <x:v>1.5</x:v>
      </x:c>
      <x:c r="L47" s="22" t="n">
        <x:f>IF(B47="","",ROUND(K47-H47,2))</x:f>
        <x:v>0.42</x:v>
      </x:c>
      <x:c r="M47" t="str">
        <x:v>Page 2</x:v>
      </x:c>
      <x:c r="N47" t="str">
        <x:f>IF(B47="","",IF(J47&lt;&gt;"Completed","Not counted",IF(H47&lt;=0,"CHECK TIME","OK")))</x:f>
        <x:v>OK</x:v>
      </x:c>
    </x:row>
    <x:row r="48">
      <x:c r="A48" t="n">
        <x:f>IF(B48="","",ROW()-1)</x:f>
        <x:v>47</x:v>
      </x:c>
      <x:c r="B48" s="24" t="n">
        <x:v>45898</x:v>
      </x:c>
      <x:c r="C48" t="str">
        <x:f>IF(B48="","",TEXT(B48,"mmm-yyyy"))</x:f>
        <x:v>Aug-2025</x:v>
      </x:c>
      <x:c r="D48" t="str">
        <x:f>IF(B48="","",TEXT(B48,"ddd"))</x:f>
        <x:v>Fri</x:v>
      </x:c>
      <x:c r="E48" s="32" t="n">
        <x:v>0.6388888888888888</x:v>
      </x:c>
      <x:c r="F48" s="32" t="n">
        <x:v>0.6770833333333334</x:v>
      </x:c>
      <x:c r="G48" t="n">
        <x:v>0</x:v>
      </x:c>
      <x:c r="H48" s="22" t="n">
        <x:f>IF(OR(B48="",J48&lt;&gt;"Completed"),0,IF(AND(ISNUMBER(E48),ISNUMBER(F48)),ROUND(((F48-E48)+(F48&lt;E48))*24-(N(G48)/60),2),0))</x:f>
        <x:v>0.92</x:v>
      </x:c>
      <x:c r="I48" s="34" t="n">
        <x:f>IF(H48=0,"",H48/24)</x:f>
        <x:v>0.03833333333333334</x:v>
      </x:c>
      <x:c r="J48" t="str">
        <x:v>Completed</x:v>
      </x:c>
      <x:c r="K48" s="22" t="n">
        <x:f>IF(B48="","",START_HERE!$B$7)</x:f>
        <x:v>1.5</x:v>
      </x:c>
      <x:c r="L48" s="22" t="n">
        <x:f>IF(B48="","",ROUND(K48-H48,2))</x:f>
        <x:v>0.58</x:v>
      </x:c>
      <x:c r="M48" t="str">
        <x:v>Page 2</x:v>
      </x:c>
      <x:c r="N48" t="str">
        <x:f>IF(B48="","",IF(J48&lt;&gt;"Completed","Not counted",IF(H48&lt;=0,"CHECK TIME","OK")))</x:f>
        <x:v>OK</x:v>
      </x:c>
    </x:row>
    <x:row r="49">
      <x:c r="A49" t="n">
        <x:f>IF(B49="","",ROW()-1)</x:f>
        <x:v>48</x:v>
      </x:c>
      <x:c r="B49" s="24" t="n">
        <x:v>45901</x:v>
      </x:c>
      <x:c r="C49" t="str">
        <x:f>IF(B49="","",TEXT(B49,"mmm-yyyy"))</x:f>
        <x:v>Sep-2025</x:v>
      </x:c>
      <x:c r="D49" t="str">
        <x:f>IF(B49="","",TEXT(B49,"ddd"))</x:f>
        <x:v>Mon</x:v>
      </x:c>
      <x:c r="E49" s="32" t="n">
        <x:v>0.6979166666666666</x:v>
      </x:c>
      <x:c r="F49" s="32" t="n">
        <x:v>0.7395833333333334</x:v>
      </x:c>
      <x:c r="G49" t="n">
        <x:v>0</x:v>
      </x:c>
      <x:c r="H49" s="22" t="n">
        <x:f>IF(OR(B49="",J49&lt;&gt;"Completed"),0,IF(AND(ISNUMBER(E49),ISNUMBER(F49)),ROUND(((F49-E49)+(F49&lt;E49))*24-(N(G49)/60),2),0))</x:f>
        <x:v>1</x:v>
      </x:c>
      <x:c r="I49" s="34" t="n">
        <x:f>IF(H49=0,"",H49/24)</x:f>
        <x:v>0.041666666666666664</x:v>
      </x:c>
      <x:c r="J49" t="str">
        <x:v>Completed</x:v>
      </x:c>
      <x:c r="K49" s="22" t="n">
        <x:f>IF(B49="","",START_HERE!$B$7)</x:f>
        <x:v>1.5</x:v>
      </x:c>
      <x:c r="L49" s="22" t="n">
        <x:f>IF(B49="","",ROUND(K49-H49,2))</x:f>
        <x:v>0.5</x:v>
      </x:c>
      <x:c r="M49" t="str">
        <x:v>Page 2</x:v>
      </x:c>
      <x:c r="N49" t="str">
        <x:f>IF(B49="","",IF(J49&lt;&gt;"Completed","Not counted",IF(H49&lt;=0,"CHECK TIME","OK")))</x:f>
        <x:v>OK</x:v>
      </x:c>
    </x:row>
    <x:row r="50">
      <x:c r="A50" t="n">
        <x:f>IF(B50="","",ROW()-1)</x:f>
        <x:v>49</x:v>
      </x:c>
      <x:c r="B50" s="24" t="n">
        <x:v>45906</x:v>
      </x:c>
      <x:c r="C50" t="str">
        <x:f>IF(B50="","",TEXT(B50,"mmm-yyyy"))</x:f>
        <x:v>Sep-2025</x:v>
      </x:c>
      <x:c r="D50" t="str">
        <x:f>IF(B50="","",TEXT(B50,"ddd"))</x:f>
        <x:v>Sat</x:v>
      </x:c>
      <x:c r="E50" s="32" t="n">
        <x:v>0.6284722222222222</x:v>
      </x:c>
      <x:c r="F50" s="32" t="n">
        <x:v>0.6805555555555556</x:v>
      </x:c>
      <x:c r="G50" t="n">
        <x:v>0</x:v>
      </x:c>
      <x:c r="H50" s="22" t="n">
        <x:f>IF(OR(B50="",J50&lt;&gt;"Completed"),0,IF(AND(ISNUMBER(E50),ISNUMBER(F50)),ROUND(((F50-E50)+(F50&lt;E50))*24-(N(G50)/60),2),0))</x:f>
        <x:v>1.25</x:v>
      </x:c>
      <x:c r="I50" s="34" t="n">
        <x:f>IF(H50=0,"",H50/24)</x:f>
        <x:v>0.052083333333333336</x:v>
      </x:c>
      <x:c r="J50" t="str">
        <x:v>Completed</x:v>
      </x:c>
      <x:c r="K50" s="22" t="n">
        <x:f>IF(B50="","",START_HERE!$B$7)</x:f>
        <x:v>1.5</x:v>
      </x:c>
      <x:c r="L50" s="22" t="n">
        <x:f>IF(B50="","",ROUND(K50-H50,2))</x:f>
        <x:v>0.25</x:v>
      </x:c>
      <x:c r="M50" t="str">
        <x:v>Page 2</x:v>
      </x:c>
      <x:c r="N50" t="str">
        <x:f>IF(B50="","",IF(J50&lt;&gt;"Completed","Not counted",IF(H50&lt;=0,"CHECK TIME","OK")))</x:f>
        <x:v>OK</x:v>
      </x:c>
    </x:row>
    <x:row r="51">
      <x:c r="A51" t="n">
        <x:f>IF(B51="","",ROW()-1)</x:f>
        <x:v>50</x:v>
      </x:c>
      <x:c r="B51" s="24" t="n">
        <x:v>45909</x:v>
      </x:c>
      <x:c r="C51" t="str">
        <x:f>IF(B51="","",TEXT(B51,"mmm-yyyy"))</x:f>
        <x:v>Sep-2025</x:v>
      </x:c>
      <x:c r="D51" t="str">
        <x:f>IF(B51="","",TEXT(B51,"ddd"))</x:f>
        <x:v>Tue</x:v>
      </x:c>
      <x:c r="E51" s="32" t="n">
        <x:v>0.7395833333333334</x:v>
      </x:c>
      <x:c r="F51" s="32" t="n">
        <x:v>0.8020833333333334</x:v>
      </x:c>
      <x:c r="G51" t="n">
        <x:v>0</x:v>
      </x:c>
      <x:c r="H51" s="22" t="n">
        <x:f>IF(OR(B51="",J51&lt;&gt;"Completed"),0,IF(AND(ISNUMBER(E51),ISNUMBER(F51)),ROUND(((F51-E51)+(F51&lt;E51))*24-(N(G51)/60),2),0))</x:f>
        <x:v>1.5</x:v>
      </x:c>
      <x:c r="I51" s="34" t="n">
        <x:f>IF(H51=0,"",H51/24)</x:f>
        <x:v>0.0625</x:v>
      </x:c>
      <x:c r="J51" t="str">
        <x:v>Completed</x:v>
      </x:c>
      <x:c r="K51" s="22" t="n">
        <x:f>IF(B51="","",START_HERE!$B$7)</x:f>
        <x:v>1.5</x:v>
      </x:c>
      <x:c r="L51" s="22" t="n">
        <x:f>IF(B51="","",ROUND(K51-H51,2))</x:f>
        <x:v>0</x:v>
      </x:c>
      <x:c r="M51" t="str">
        <x:v>Page 2</x:v>
      </x:c>
      <x:c r="N51" t="str">
        <x:f>IF(B51="","",IF(J51&lt;&gt;"Completed","Not counted",IF(H51&lt;=0,"CHECK TIME","OK")))</x:f>
        <x:v>OK</x:v>
      </x:c>
    </x:row>
    <x:row r="52">
      <x:c r="A52" t="n">
        <x:f>IF(B52="","",ROW()-1)</x:f>
        <x:v>51</x:v>
      </x:c>
      <x:c r="B52" s="24" t="n">
        <x:v>45912</x:v>
      </x:c>
      <x:c r="C52" t="str">
        <x:f>IF(B52="","",TEXT(B52,"mmm-yyyy"))</x:f>
        <x:v>Sep-2025</x:v>
      </x:c>
      <x:c r="D52" t="str">
        <x:f>IF(B52="","",TEXT(B52,"ddd"))</x:f>
        <x:v>Fri</x:v>
      </x:c>
      <x:c r="E52" s="32" t="n">
        <x:v>0.7083333333333334</x:v>
      </x:c>
      <x:c r="F52" s="32" t="n">
        <x:v>0.7708333333333334</x:v>
      </x:c>
      <x:c r="G52" t="n">
        <x:v>0</x:v>
      </x:c>
      <x:c r="H52" s="22" t="n">
        <x:f>IF(OR(B52="",J52&lt;&gt;"Completed"),0,IF(AND(ISNUMBER(E52),ISNUMBER(F52)),ROUND(((F52-E52)+(F52&lt;E52))*24-(N(G52)/60),2),0))</x:f>
        <x:v>1.5</x:v>
      </x:c>
      <x:c r="I52" s="34" t="n">
        <x:f>IF(H52=0,"",H52/24)</x:f>
        <x:v>0.0625</x:v>
      </x:c>
      <x:c r="J52" t="str">
        <x:v>Completed</x:v>
      </x:c>
      <x:c r="K52" s="22" t="n">
        <x:f>IF(B52="","",START_HERE!$B$7)</x:f>
        <x:v>1.5</x:v>
      </x:c>
      <x:c r="L52" s="22" t="n">
        <x:f>IF(B52="","",ROUND(K52-H52,2))</x:f>
        <x:v>0</x:v>
      </x:c>
      <x:c r="M52" t="str">
        <x:v>Page 2</x:v>
      </x:c>
      <x:c r="N52" t="str">
        <x:f>IF(B52="","",IF(J52&lt;&gt;"Completed","Not counted",IF(H52&lt;=0,"CHECK TIME","OK")))</x:f>
        <x:v>OK</x:v>
      </x:c>
    </x:row>
    <x:row r="53">
      <x:c r="A53" t="n">
        <x:f>IF(B53="","",ROW()-1)</x:f>
        <x:v>52</x:v>
      </x:c>
      <x:c r="B53" s="24" t="n">
        <x:v>45913</x:v>
      </x:c>
      <x:c r="C53" t="str">
        <x:f>IF(B53="","",TEXT(B53,"mmm-yyyy"))</x:f>
        <x:v>Sep-2025</x:v>
      </x:c>
      <x:c r="D53" t="str">
        <x:f>IF(B53="","",TEXT(B53,"ddd"))</x:f>
        <x:v>Sat</x:v>
      </x:c>
      <x:c r="E53" s="32" t="n">
        <x:v>0.7395833333333334</x:v>
      </x:c>
      <x:c r="F53" s="32" t="n">
        <x:v>0.7916666666666666</x:v>
      </x:c>
      <x:c r="G53" t="n">
        <x:v>0</x:v>
      </x:c>
      <x:c r="H53" s="22" t="n">
        <x:f>IF(OR(B53="",J53&lt;&gt;"Completed"),0,IF(AND(ISNUMBER(E53),ISNUMBER(F53)),ROUND(((F53-E53)+(F53&lt;E53))*24-(N(G53)/60),2),0))</x:f>
        <x:v>1.25</x:v>
      </x:c>
      <x:c r="I53" s="34" t="n">
        <x:f>IF(H53=0,"",H53/24)</x:f>
        <x:v>0.052083333333333336</x:v>
      </x:c>
      <x:c r="J53" t="str">
        <x:v>Completed</x:v>
      </x:c>
      <x:c r="K53" s="22" t="n">
        <x:f>IF(B53="","",START_HERE!$B$7)</x:f>
        <x:v>1.5</x:v>
      </x:c>
      <x:c r="L53" s="22" t="n">
        <x:f>IF(B53="","",ROUND(K53-H53,2))</x:f>
        <x:v>0.25</x:v>
      </x:c>
      <x:c r="M53" t="str">
        <x:v>Page 2</x:v>
      </x:c>
      <x:c r="N53" t="str">
        <x:f>IF(B53="","",IF(J53&lt;&gt;"Completed","Not counted",IF(H53&lt;=0,"CHECK TIME","OK")))</x:f>
        <x:v>OK</x:v>
      </x:c>
    </x:row>
    <x:row r="54">
      <x:c r="A54" t="n">
        <x:f>IF(B54="","",ROW()-1)</x:f>
        <x:v>53</x:v>
      </x:c>
      <x:c r="B54" s="24" t="n">
        <x:v>45915</x:v>
      </x:c>
      <x:c r="C54" t="str">
        <x:f>IF(B54="","",TEXT(B54,"mmm-yyyy"))</x:f>
        <x:v>Sep-2025</x:v>
      </x:c>
      <x:c r="D54" t="str">
        <x:f>IF(B54="","",TEXT(B54,"ddd"))</x:f>
        <x:v>Mon</x:v>
      </x:c>
      <x:c r="E54" s="32" t="n">
        <x:v>0.5902777777777778</x:v>
      </x:c>
      <x:c r="F54" s="32" t="n">
        <x:v>0.6527777777777778</x:v>
      </x:c>
      <x:c r="G54" t="n">
        <x:v>0</x:v>
      </x:c>
      <x:c r="H54" s="22" t="n">
        <x:f>IF(OR(B54="",J54&lt;&gt;"Completed"),0,IF(AND(ISNUMBER(E54),ISNUMBER(F54)),ROUND(((F54-E54)+(F54&lt;E54))*24-(N(G54)/60),2),0))</x:f>
        <x:v>1.5</x:v>
      </x:c>
      <x:c r="I54" s="34" t="n">
        <x:f>IF(H54=0,"",H54/24)</x:f>
        <x:v>0.0625</x:v>
      </x:c>
      <x:c r="J54" t="str">
        <x:v>Completed</x:v>
      </x:c>
      <x:c r="K54" s="22" t="n">
        <x:f>IF(B54="","",START_HERE!$B$7)</x:f>
        <x:v>1.5</x:v>
      </x:c>
      <x:c r="L54" s="22" t="n">
        <x:f>IF(B54="","",ROUND(K54-H54,2))</x:f>
        <x:v>0</x:v>
      </x:c>
      <x:c r="M54" t="str">
        <x:v>Page 2</x:v>
      </x:c>
      <x:c r="N54" t="str">
        <x:f>IF(B54="","",IF(J54&lt;&gt;"Completed","Not counted",IF(H54&lt;=0,"CHECK TIME","OK")))</x:f>
        <x:v>OK</x:v>
      </x:c>
    </x:row>
    <x:row r="55">
      <x:c r="A55" t="n">
        <x:f>IF(B55="","",ROW()-1)</x:f>
        <x:v>54</x:v>
      </x:c>
      <x:c r="B55" s="24" t="n">
        <x:v>45920</x:v>
      </x:c>
      <x:c r="C55" t="str">
        <x:f>IF(B55="","",TEXT(B55,"mmm-yyyy"))</x:f>
        <x:v>Sep-2025</x:v>
      </x:c>
      <x:c r="D55" t="str">
        <x:f>IF(B55="","",TEXT(B55,"ddd"))</x:f>
        <x:v>Sat</x:v>
      </x:c>
      <x:c r="E55" s="32" t="n">
        <x:v>0.7847222222222222</x:v>
      </x:c>
      <x:c r="F55" s="32" t="n">
        <x:v>0.8506944444444444</x:v>
      </x:c>
      <x:c r="G55" t="n">
        <x:v>0</x:v>
      </x:c>
      <x:c r="H55" s="22" t="n">
        <x:f>IF(OR(B55="",J55&lt;&gt;"Completed"),0,IF(AND(ISNUMBER(E55),ISNUMBER(F55)),ROUND(((F55-E55)+(F55&lt;E55))*24-(N(G55)/60),2),0))</x:f>
        <x:v>1.58</x:v>
      </x:c>
      <x:c r="I55" s="34" t="n">
        <x:f>IF(H55=0,"",H55/24)</x:f>
        <x:v>0.06583333333333334</x:v>
      </x:c>
      <x:c r="J55" t="str">
        <x:v>Completed</x:v>
      </x:c>
      <x:c r="K55" s="22" t="n">
        <x:f>IF(B55="","",START_HERE!$B$7)</x:f>
        <x:v>1.5</x:v>
      </x:c>
      <x:c r="L55" s="22" t="n">
        <x:f>IF(B55="","",ROUND(K55-H55,2))</x:f>
        <x:v>-0.08</x:v>
      </x:c>
      <x:c r="M55" t="str">
        <x:v>Page 2 - Start appears overwritten; using duration 1:35 from register</x:v>
      </x:c>
      <x:c r="N55" t="str">
        <x:f>IF(B55="","",IF(J55&lt;&gt;"Completed","Not counted",IF(H55&lt;=0,"CHECK TIME","OK")))</x:f>
        <x:v>OK</x:v>
      </x:c>
    </x:row>
    <x:row r="56">
      <x:c r="A56" t="n">
        <x:f>IF(B56="","",ROW()-1)</x:f>
        <x:v>55</x:v>
      </x:c>
      <x:c r="B56" s="24" t="n">
        <x:v>45923</x:v>
      </x:c>
      <x:c r="C56" t="str">
        <x:f>IF(B56="","",TEXT(B56,"mmm-yyyy"))</x:f>
        <x:v>Sep-2025</x:v>
      </x:c>
      <x:c r="D56" t="str">
        <x:f>IF(B56="","",TEXT(B56,"ddd"))</x:f>
        <x:v>Tue</x:v>
      </x:c>
      <x:c r="E56" s="32" t="n">
        <x:v>0.8125</x:v>
      </x:c>
      <x:c r="F56" s="32" t="n">
        <x:v>0.875</x:v>
      </x:c>
      <x:c r="G56" t="n">
        <x:v>0</x:v>
      </x:c>
      <x:c r="H56" s="22" t="n">
        <x:f>IF(OR(B56="",J56&lt;&gt;"Completed"),0,IF(AND(ISNUMBER(E56),ISNUMBER(F56)),ROUND(((F56-E56)+(F56&lt;E56))*24-(N(G56)/60),2),0))</x:f>
        <x:v>1.5</x:v>
      </x:c>
      <x:c r="I56" s="34" t="n">
        <x:f>IF(H56=0,"",H56/24)</x:f>
        <x:v>0.0625</x:v>
      </x:c>
      <x:c r="J56" t="str">
        <x:v>Completed</x:v>
      </x:c>
      <x:c r="K56" s="22" t="n">
        <x:f>IF(B56="","",START_HERE!$B$7)</x:f>
        <x:v>1.5</x:v>
      </x:c>
      <x:c r="L56" s="22" t="n">
        <x:f>IF(B56="","",ROUND(K56-H56,2))</x:f>
        <x:v>0</x:v>
      </x:c>
      <x:c r="M56" t="str">
        <x:v>Page 2</x:v>
      </x:c>
      <x:c r="N56" t="str">
        <x:f>IF(B56="","",IF(J56&lt;&gt;"Completed","Not counted",IF(H56&lt;=0,"CHECK TIME","OK")))</x:f>
        <x:v>OK</x:v>
      </x:c>
    </x:row>
    <x:row r="57">
      <x:c r="A57" t="n">
        <x:f>IF(B57="","",ROW()-1)</x:f>
        <x:v>56</x:v>
      </x:c>
      <x:c r="B57" s="24" t="n">
        <x:v>45926</x:v>
      </x:c>
      <x:c r="C57" t="str">
        <x:f>IF(B57="","",TEXT(B57,"mmm-yyyy"))</x:f>
        <x:v>Sep-2025</x:v>
      </x:c>
      <x:c r="D57" t="str">
        <x:f>IF(B57="","",TEXT(B57,"ddd"))</x:f>
        <x:v>Fri</x:v>
      </x:c>
      <x:c r="E57" s="32"/>
      <x:c r="F57" s="32"/>
      <x:c r="G57" t="n">
        <x:v>0</x:v>
      </x:c>
      <x:c r="H57" s="22" t="n">
        <x:f>IF(OR(B57="",J57&lt;&gt;"Completed"),0,IF(AND(ISNUMBER(E57),ISNUMBER(F57)),ROUND(((F57-E57)+(F57&lt;E57))*24-(N(G57)/60),2),0))</x:f>
        <x:v>0</x:v>
      </x:c>
      <x:c r="I57" s="34" t="str">
        <x:f>IF(H57=0,"",H57/24)</x:f>
      </x:c>
      <x:c r="J57" t="str">
        <x:v>Completed</x:v>
      </x:c>
      <x:c r="K57" s="22" t="n">
        <x:f>IF(B57="","",START_HERE!$B$7)</x:f>
        <x:v>1.5</x:v>
      </x:c>
      <x:c r="L57" s="22" t="n">
        <x:f>IF(B57="","",ROUND(K57-H57,2))</x:f>
        <x:v>1.5</x:v>
      </x:c>
      <x:c r="M57" t="str">
        <x:v>Page 3 - Only duration written: 1:00</x:v>
      </x:c>
      <x:c r="N57" t="str">
        <x:f>IF(B57="","",IF(J57&lt;&gt;"Completed","Not counted",IF(H57&lt;=0,"CHECK TIME","OK")))</x:f>
        <x:v>CHECK TIME</x:v>
      </x:c>
    </x:row>
    <x:row r="58">
      <x:c r="A58" t="n">
        <x:f>IF(B58="","",ROW()-1)</x:f>
        <x:v>57</x:v>
      </x:c>
      <x:c r="B58" s="24" t="n">
        <x:v>45927</x:v>
      </x:c>
      <x:c r="C58" t="str">
        <x:f>IF(B58="","",TEXT(B58,"mmm-yyyy"))</x:f>
        <x:v>Sep-2025</x:v>
      </x:c>
      <x:c r="D58" t="str">
        <x:f>IF(B58="","",TEXT(B58,"ddd"))</x:f>
        <x:v>Sat</x:v>
      </x:c>
      <x:c r="E58" s="32" t="n">
        <x:v>0.7916666666666666</x:v>
      </x:c>
      <x:c r="F58" s="32" t="n">
        <x:v>0.8333333333333334</x:v>
      </x:c>
      <x:c r="G58" t="n">
        <x:v>0</x:v>
      </x:c>
      <x:c r="H58" s="22" t="n">
        <x:f>IF(OR(B58="",J58&lt;&gt;"Completed"),0,IF(AND(ISNUMBER(E58),ISNUMBER(F58)),ROUND(((F58-E58)+(F58&lt;E58))*24-(N(G58)/60),2),0))</x:f>
        <x:v>1</x:v>
      </x:c>
      <x:c r="I58" s="34" t="n">
        <x:f>IF(H58=0,"",H58/24)</x:f>
        <x:v>0.041666666666666664</x:v>
      </x:c>
      <x:c r="J58" t="str">
        <x:v>Completed</x:v>
      </x:c>
      <x:c r="K58" s="22" t="n">
        <x:f>IF(B58="","",START_HERE!$B$7)</x:f>
        <x:v>1.5</x:v>
      </x:c>
      <x:c r="L58" s="22" t="n">
        <x:f>IF(B58="","",ROUND(K58-H58,2))</x:f>
        <x:v>0.5</x:v>
      </x:c>
      <x:c r="M58" t="str">
        <x:v>Page 3</x:v>
      </x:c>
      <x:c r="N58" t="str">
        <x:f>IF(B58="","",IF(J58&lt;&gt;"Completed","Not counted",IF(H58&lt;=0,"CHECK TIME","OK")))</x:f>
        <x:v>OK</x:v>
      </x:c>
    </x:row>
    <x:row r="59">
      <x:c r="A59" t="n">
        <x:f>IF(B59="","",ROW()-1)</x:f>
        <x:v>58</x:v>
      </x:c>
      <x:c r="B59" s="24" t="n">
        <x:v>45931</x:v>
      </x:c>
      <x:c r="C59" t="str">
        <x:f>IF(B59="","",TEXT(B59,"mmm-yyyy"))</x:f>
        <x:v>Oct-2025</x:v>
      </x:c>
      <x:c r="D59" t="str">
        <x:f>IF(B59="","",TEXT(B59,"ddd"))</x:f>
        <x:v>Wed</x:v>
      </x:c>
      <x:c r="E59" s="32" t="n">
        <x:v>0.5243055555555556</x:v>
      </x:c>
      <x:c r="F59" s="32" t="n">
        <x:v>0.5763888888888888</x:v>
      </x:c>
      <x:c r="G59" t="n">
        <x:v>0</x:v>
      </x:c>
      <x:c r="H59" s="22" t="n">
        <x:f>IF(OR(B59="",J59&lt;&gt;"Completed"),0,IF(AND(ISNUMBER(E59),ISNUMBER(F59)),ROUND(((F59-E59)+(F59&lt;E59))*24-(N(G59)/60),2),0))</x:f>
        <x:v>1.25</x:v>
      </x:c>
      <x:c r="I59" s="34" t="n">
        <x:f>IF(H59=0,"",H59/24)</x:f>
        <x:v>0.052083333333333336</x:v>
      </x:c>
      <x:c r="J59" t="str">
        <x:v>Completed</x:v>
      </x:c>
      <x:c r="K59" s="22" t="n">
        <x:f>IF(B59="","",START_HERE!$B$7)</x:f>
        <x:v>1.5</x:v>
      </x:c>
      <x:c r="L59" s="22" t="n">
        <x:f>IF(B59="","",ROUND(K59-H59,2))</x:f>
        <x:v>0.25</x:v>
      </x:c>
      <x:c r="M59" t="str">
        <x:v>Page 3</x:v>
      </x:c>
      <x:c r="N59" t="str">
        <x:f>IF(B59="","",IF(J59&lt;&gt;"Completed","Not counted",IF(H59&lt;=0,"CHECK TIME","OK")))</x:f>
        <x:v>OK</x:v>
      </x:c>
    </x:row>
    <x:row r="60">
      <x:c r="A60" t="n">
        <x:f>IF(B60="","",ROW()-1)</x:f>
        <x:v>59</x:v>
      </x:c>
      <x:c r="B60" s="24" t="n">
        <x:v>45932</x:v>
      </x:c>
      <x:c r="C60" t="str">
        <x:f>IF(B60="","",TEXT(B60,"mmm-yyyy"))</x:f>
        <x:v>Oct-2025</x:v>
      </x:c>
      <x:c r="D60" t="str">
        <x:f>IF(B60="","",TEXT(B60,"ddd"))</x:f>
        <x:v>Thu</x:v>
      </x:c>
      <x:c r="E60" s="32" t="n">
        <x:v>0.5243055555555556</x:v>
      </x:c>
      <x:c r="F60" s="32" t="n">
        <x:v>0.5833333333333334</x:v>
      </x:c>
      <x:c r="G60" t="n">
        <x:v>0</x:v>
      </x:c>
      <x:c r="H60" s="22" t="n">
        <x:f>IF(OR(B60="",J60&lt;&gt;"Completed"),0,IF(AND(ISNUMBER(E60),ISNUMBER(F60)),ROUND(((F60-E60)+(F60&lt;E60))*24-(N(G60)/60),2),0))</x:f>
        <x:v>1.42</x:v>
      </x:c>
      <x:c r="I60" s="34" t="n">
        <x:f>IF(H60=0,"",H60/24)</x:f>
        <x:v>0.059166666666666666</x:v>
      </x:c>
      <x:c r="J60" t="str">
        <x:v>Completed</x:v>
      </x:c>
      <x:c r="K60" s="22" t="n">
        <x:f>IF(B60="","",START_HERE!$B$7)</x:f>
        <x:v>1.5</x:v>
      </x:c>
      <x:c r="L60" s="22" t="n">
        <x:f>IF(B60="","",ROUND(K60-H60,2))</x:f>
        <x:v>0.08</x:v>
      </x:c>
      <x:c r="M60" t="str">
        <x:v>Page 3</x:v>
      </x:c>
      <x:c r="N60" t="str">
        <x:f>IF(B60="","",IF(J60&lt;&gt;"Completed","Not counted",IF(H60&lt;=0,"CHECK TIME","OK")))</x:f>
        <x:v>OK</x:v>
      </x:c>
    </x:row>
    <x:row r="61">
      <x:c r="A61" t="n">
        <x:f>IF(B61="","",ROW()-1)</x:f>
        <x:v>60</x:v>
      </x:c>
      <x:c r="B61" s="24" t="n">
        <x:v>45945</x:v>
      </x:c>
      <x:c r="C61" t="str">
        <x:f>IF(B61="","",TEXT(B61,"mmm-yyyy"))</x:f>
        <x:v>Oct-2025</x:v>
      </x:c>
      <x:c r="D61" t="str">
        <x:f>IF(B61="","",TEXT(B61,"ddd"))</x:f>
        <x:v>Wed</x:v>
      </x:c>
      <x:c r="E61" s="32" t="n">
        <x:v>0.75</x:v>
      </x:c>
      <x:c r="F61" s="32" t="n">
        <x:v>0.7916666666666666</x:v>
      </x:c>
      <x:c r="G61" t="n">
        <x:v>0</x:v>
      </x:c>
      <x:c r="H61" s="22" t="n">
        <x:f>IF(OR(B61="",J61&lt;&gt;"Completed"),0,IF(AND(ISNUMBER(E61),ISNUMBER(F61)),ROUND(((F61-E61)+(F61&lt;E61))*24-(N(G61)/60),2),0))</x:f>
        <x:v>1</x:v>
      </x:c>
      <x:c r="I61" s="34" t="n">
        <x:f>IF(H61=0,"",H61/24)</x:f>
        <x:v>0.041666666666666664</x:v>
      </x:c>
      <x:c r="J61" t="str">
        <x:v>Completed</x:v>
      </x:c>
      <x:c r="K61" s="22" t="n">
        <x:f>IF(B61="","",START_HERE!$B$7)</x:f>
        <x:v>1.5</x:v>
      </x:c>
      <x:c r="L61" s="22" t="n">
        <x:f>IF(B61="","",ROUND(K61-H61,2))</x:f>
        <x:v>0.5</x:v>
      </x:c>
      <x:c r="M61" t="str">
        <x:v>Page 3</x:v>
      </x:c>
      <x:c r="N61" t="str">
        <x:f>IF(B61="","",IF(J61&lt;&gt;"Completed","Not counted",IF(H61&lt;=0,"CHECK TIME","OK")))</x:f>
        <x:v>OK</x:v>
      </x:c>
    </x:row>
    <x:row r="62">
      <x:c r="A62" t="n">
        <x:f>IF(B62="","",ROW()-1)</x:f>
        <x:v>61</x:v>
      </x:c>
      <x:c r="B62" s="24" t="n">
        <x:v>45957</x:v>
      </x:c>
      <x:c r="C62" t="str">
        <x:f>IF(B62="","",TEXT(B62,"mmm-yyyy"))</x:f>
        <x:v>Oct-2025</x:v>
      </x:c>
      <x:c r="D62" t="str">
        <x:f>IF(B62="","",TEXT(B62,"ddd"))</x:f>
        <x:v>Mon</x:v>
      </x:c>
      <x:c r="E62" s="32" t="n">
        <x:v>0.7361111111111112</x:v>
      </x:c>
      <x:c r="F62" s="32" t="n">
        <x:v>0.7916666666666666</x:v>
      </x:c>
      <x:c r="G62" t="n">
        <x:v>0</x:v>
      </x:c>
      <x:c r="H62" s="22" t="n">
        <x:f>IF(OR(B62="",J62&lt;&gt;"Completed"),0,IF(AND(ISNUMBER(E62),ISNUMBER(F62)),ROUND(((F62-E62)+(F62&lt;E62))*24-(N(G62)/60),2),0))</x:f>
        <x:v>1.33</x:v>
      </x:c>
      <x:c r="I62" s="34" t="n">
        <x:f>IF(H62=0,"",H62/24)</x:f>
        <x:v>0.05541666666666667</x:v>
      </x:c>
      <x:c r="J62" t="str">
        <x:v>Completed</x:v>
      </x:c>
      <x:c r="K62" s="22" t="n">
        <x:f>IF(B62="","",START_HERE!$B$7)</x:f>
        <x:v>1.5</x:v>
      </x:c>
      <x:c r="L62" s="22" t="n">
        <x:f>IF(B62="","",ROUND(K62-H62,2))</x:f>
        <x:v>0.17</x:v>
      </x:c>
      <x:c r="M62" t="str">
        <x:v>Page 3</x:v>
      </x:c>
      <x:c r="N62" t="str">
        <x:f>IF(B62="","",IF(J62&lt;&gt;"Completed","Not counted",IF(H62&lt;=0,"CHECK TIME","OK")))</x:f>
        <x:v>OK</x:v>
      </x:c>
    </x:row>
    <x:row r="63">
      <x:c r="A63" t="n">
        <x:f>IF(B63="","",ROW()-1)</x:f>
        <x:v>62</x:v>
      </x:c>
      <x:c r="B63" s="24" t="n">
        <x:v>45959</x:v>
      </x:c>
      <x:c r="C63" t="str">
        <x:f>IF(B63="","",TEXT(B63,"mmm-yyyy"))</x:f>
        <x:v>Oct-2025</x:v>
      </x:c>
      <x:c r="D63" t="str">
        <x:f>IF(B63="","",TEXT(B63,"ddd"))</x:f>
        <x:v>Wed</x:v>
      </x:c>
      <x:c r="E63" s="32" t="n">
        <x:v>0.7777777777777778</x:v>
      </x:c>
      <x:c r="F63" s="32" t="n">
        <x:v>0.8333333333333334</x:v>
      </x:c>
      <x:c r="G63" t="n">
        <x:v>0</x:v>
      </x:c>
      <x:c r="H63" s="22" t="n">
        <x:f>IF(OR(B63="",J63&lt;&gt;"Completed"),0,IF(AND(ISNUMBER(E63),ISNUMBER(F63)),ROUND(((F63-E63)+(F63&lt;E63))*24-(N(G63)/60),2),0))</x:f>
        <x:v>1.33</x:v>
      </x:c>
      <x:c r="I63" s="34" t="n">
        <x:f>IF(H63=0,"",H63/24)</x:f>
        <x:v>0.05541666666666667</x:v>
      </x:c>
      <x:c r="J63" t="str">
        <x:v>Completed</x:v>
      </x:c>
      <x:c r="K63" s="22" t="n">
        <x:f>IF(B63="","",START_HERE!$B$7)</x:f>
        <x:v>1.5</x:v>
      </x:c>
      <x:c r="L63" s="22" t="n">
        <x:f>IF(B63="","",ROUND(K63-H63,2))</x:f>
        <x:v>0.17</x:v>
      </x:c>
      <x:c r="M63" t="str">
        <x:v>Page 3</x:v>
      </x:c>
      <x:c r="N63" t="str">
        <x:f>IF(B63="","",IF(J63&lt;&gt;"Completed","Not counted",IF(H63&lt;=0,"CHECK TIME","OK")))</x:f>
        <x:v>OK</x:v>
      </x:c>
    </x:row>
    <x:row r="64">
      <x:c r="A64" t="n">
        <x:f>IF(B64="","",ROW()-1)</x:f>
        <x:v>63</x:v>
      </x:c>
      <x:c r="B64" s="24" t="n">
        <x:v>45963</x:v>
      </x:c>
      <x:c r="C64" t="str">
        <x:f>IF(B64="","",TEXT(B64,"mmm-yyyy"))</x:f>
        <x:v>Nov-2025</x:v>
      </x:c>
      <x:c r="D64" t="str">
        <x:f>IF(B64="","",TEXT(B64,"ddd"))</x:f>
        <x:v>Sun</x:v>
      </x:c>
      <x:c r="E64" s="32" t="n">
        <x:v>0.5902777777777778</x:v>
      </x:c>
      <x:c r="F64" s="32" t="n">
        <x:v>0.6527777777777778</x:v>
      </x:c>
      <x:c r="G64" t="n">
        <x:v>0</x:v>
      </x:c>
      <x:c r="H64" s="22" t="n">
        <x:f>IF(OR(B64="",J64&lt;&gt;"Completed"),0,IF(AND(ISNUMBER(E64),ISNUMBER(F64)),ROUND(((F64-E64)+(F64&lt;E64))*24-(N(G64)/60),2),0))</x:f>
        <x:v>1.5</x:v>
      </x:c>
      <x:c r="I64" s="34" t="n">
        <x:f>IF(H64=0,"",H64/24)</x:f>
        <x:v>0.0625</x:v>
      </x:c>
      <x:c r="J64" t="str">
        <x:v>Completed</x:v>
      </x:c>
      <x:c r="K64" s="22" t="n">
        <x:f>IF(B64="","",START_HERE!$B$7)</x:f>
        <x:v>1.5</x:v>
      </x:c>
      <x:c r="L64" s="22" t="n">
        <x:f>IF(B64="","",ROUND(K64-H64,2))</x:f>
        <x:v>0</x:v>
      </x:c>
      <x:c r="M64" t="str">
        <x:v>Page 3</x:v>
      </x:c>
      <x:c r="N64" t="str">
        <x:f>IF(B64="","",IF(J64&lt;&gt;"Completed","Not counted",IF(H64&lt;=0,"CHECK TIME","OK")))</x:f>
        <x:v>OK</x:v>
      </x:c>
    </x:row>
    <x:row r="65">
      <x:c r="A65" t="n">
        <x:f>IF(B65="","",ROW()-1)</x:f>
        <x:v>64</x:v>
      </x:c>
      <x:c r="B65" s="24" t="n">
        <x:v>45962</x:v>
      </x:c>
      <x:c r="C65" t="str">
        <x:f>IF(B65="","",TEXT(B65,"mmm-yyyy"))</x:f>
        <x:v>Nov-2025</x:v>
      </x:c>
      <x:c r="D65" t="str">
        <x:f>IF(B65="","",TEXT(B65,"ddd"))</x:f>
        <x:v>Sat</x:v>
      </x:c>
      <x:c r="E65" s="32" t="n">
        <x:v>0.7708333333333334</x:v>
      </x:c>
      <x:c r="F65" s="32" t="n">
        <x:v>0.8541666666666666</x:v>
      </x:c>
      <x:c r="G65" t="n">
        <x:v>0</x:v>
      </x:c>
      <x:c r="H65" s="22" t="n">
        <x:f>IF(OR(B65="",J65&lt;&gt;"Completed"),0,IF(AND(ISNUMBER(E65),ISNUMBER(F65)),ROUND(((F65-E65)+(F65&lt;E65))*24-(N(G65)/60),2),0))</x:f>
        <x:v>2</x:v>
      </x:c>
      <x:c r="I65" s="34" t="n">
        <x:f>IF(H65=0,"",H65/24)</x:f>
        <x:v>0.08333333333333333</x:v>
      </x:c>
      <x:c r="J65" t="str">
        <x:v>Completed</x:v>
      </x:c>
      <x:c r="K65" s="22" t="n">
        <x:f>IF(B65="","",START_HERE!$B$7)</x:f>
        <x:v>1.5</x:v>
      </x:c>
      <x:c r="L65" s="22" t="n">
        <x:f>IF(B65="","",ROUND(K65-H65,2))</x:f>
        <x:v>-0.5</x:v>
      </x:c>
      <x:c r="M65" t="str">
        <x:v>Page 3 - Outside stated period ending 05-11-2025</x:v>
      </x:c>
      <x:c r="N65" t="str">
        <x:f>IF(B65="","",IF(J65&lt;&gt;"Completed","Not counted",IF(H65&lt;=0,"CHECK TIME","OK")))</x:f>
        <x:v>OK</x:v>
      </x:c>
    </x:row>
    <x:row r="66">
      <x:c r="A66" t="str">
        <x:f>IF(B66="","",ROW()-1)</x:f>
      </x:c>
      <x:c r="B66" s="24"/>
      <x:c r="C66" t="str">
        <x:f>IF(B66="","",TEXT(B66,"mmm-yyyy"))</x:f>
      </x:c>
      <x:c r="D66" t="str">
        <x:f>IF(B66="","",TEXT(B66,"ddd"))</x:f>
      </x:c>
      <x:c r="E66" s="32"/>
      <x:c r="F66" s="32"/>
      <x:c r="G66"/>
      <x:c r="H66" s="22" t="n">
        <x:f>IF(OR(B66="",J66&lt;&gt;"Completed"),0,IF(AND(ISNUMBER(E66),ISNUMBER(F66)),ROUND(((F66-E66)+(F66&lt;E66))*24-(N(G66)/60),2),0))</x:f>
        <x:v>0</x:v>
      </x:c>
      <x:c r="I66" s="34" t="str">
        <x:f>IF(H66=0,"",H66/24)</x:f>
      </x:c>
      <x:c r="J66"/>
      <x:c r="K66" s="22" t="str">
        <x:f>IF(B66="","",START_HERE!$B$7)</x:f>
      </x:c>
      <x:c r="L66" s="22" t="str">
        <x:f>IF(B66="","",ROUND(K66-H66,2))</x:f>
      </x:c>
      <x:c r="M66"/>
      <x:c r="N66" t="str">
        <x:f>IF(B66="","",IF(J66&lt;&gt;"Completed","Not counted",IF(H66&lt;=0,"CHECK TIME","OK")))</x:f>
      </x:c>
    </x:row>
    <x:row r="67">
      <x:c r="A67" t="str">
        <x:f>IF(B67="","",ROW()-1)</x:f>
      </x:c>
      <x:c r="B67" s="24"/>
      <x:c r="C67" t="str">
        <x:f>IF(B67="","",TEXT(B67,"mmm-yyyy"))</x:f>
      </x:c>
      <x:c r="D67" t="str">
        <x:f>IF(B67="","",TEXT(B67,"ddd"))</x:f>
      </x:c>
      <x:c r="E67" s="32"/>
      <x:c r="F67" s="32"/>
      <x:c r="G67"/>
      <x:c r="H67" s="22" t="n">
        <x:f>IF(OR(B67="",J67&lt;&gt;"Completed"),0,IF(AND(ISNUMBER(E67),ISNUMBER(F67)),ROUND(((F67-E67)+(F67&lt;E67))*24-(N(G67)/60),2),0))</x:f>
        <x:v>0</x:v>
      </x:c>
      <x:c r="I67" s="34" t="str">
        <x:f>IF(H67=0,"",H67/24)</x:f>
      </x:c>
      <x:c r="J67"/>
      <x:c r="K67" s="22" t="str">
        <x:f>IF(B67="","",START_HERE!$B$7)</x:f>
      </x:c>
      <x:c r="L67" s="22" t="str">
        <x:f>IF(B67="","",ROUND(K67-H67,2))</x:f>
      </x:c>
      <x:c r="M67"/>
      <x:c r="N67" t="str">
        <x:f>IF(B67="","",IF(J67&lt;&gt;"Completed","Not counted",IF(H67&lt;=0,"CHECK TIME","OK")))</x:f>
      </x:c>
    </x:row>
    <x:row r="68">
      <x:c r="A68" t="str">
        <x:f>IF(B68="","",ROW()-1)</x:f>
      </x:c>
      <x:c r="B68" s="24"/>
      <x:c r="C68" t="str">
        <x:f>IF(B68="","",TEXT(B68,"mmm-yyyy"))</x:f>
      </x:c>
      <x:c r="D68" t="str">
        <x:f>IF(B68="","",TEXT(B68,"ddd"))</x:f>
      </x:c>
      <x:c r="E68" s="32"/>
      <x:c r="F68" s="32"/>
      <x:c r="G68"/>
      <x:c r="H68" s="22" t="n">
        <x:f>IF(OR(B68="",J68&lt;&gt;"Completed"),0,IF(AND(ISNUMBER(E68),ISNUMBER(F68)),ROUND(((F68-E68)+(F68&lt;E68))*24-(N(G68)/60),2),0))</x:f>
        <x:v>0</x:v>
      </x:c>
      <x:c r="I68" s="34" t="str">
        <x:f>IF(H68=0,"",H68/24)</x:f>
      </x:c>
      <x:c r="J68"/>
      <x:c r="K68" s="22" t="str">
        <x:f>IF(B68="","",START_HERE!$B$7)</x:f>
      </x:c>
      <x:c r="L68" s="22" t="str">
        <x:f>IF(B68="","",ROUND(K68-H68,2))</x:f>
      </x:c>
      <x:c r="M68"/>
      <x:c r="N68" t="str">
        <x:f>IF(B68="","",IF(J68&lt;&gt;"Completed","Not counted",IF(H68&lt;=0,"CHECK TIME","OK")))</x:f>
      </x:c>
    </x:row>
    <x:row r="69">
      <x:c r="A69" t="str">
        <x:f>IF(B69="","",ROW()-1)</x:f>
      </x:c>
      <x:c r="B69" s="24"/>
      <x:c r="C69" t="str">
        <x:f>IF(B69="","",TEXT(B69,"mmm-yyyy"))</x:f>
      </x:c>
      <x:c r="D69" t="str">
        <x:f>IF(B69="","",TEXT(B69,"ddd"))</x:f>
      </x:c>
      <x:c r="E69" s="32"/>
      <x:c r="F69" s="32"/>
      <x:c r="G69"/>
      <x:c r="H69" s="22" t="n">
        <x:f>IF(OR(B69="",J69&lt;&gt;"Completed"),0,IF(AND(ISNUMBER(E69),ISNUMBER(F69)),ROUND(((F69-E69)+(F69&lt;E69))*24-(N(G69)/60),2),0))</x:f>
        <x:v>0</x:v>
      </x:c>
      <x:c r="I69" s="34" t="str">
        <x:f>IF(H69=0,"",H69/24)</x:f>
      </x:c>
      <x:c r="J69"/>
      <x:c r="K69" s="22" t="str">
        <x:f>IF(B69="","",START_HERE!$B$7)</x:f>
      </x:c>
      <x:c r="L69" s="22" t="str">
        <x:f>IF(B69="","",ROUND(K69-H69,2))</x:f>
      </x:c>
      <x:c r="M69"/>
      <x:c r="N69" t="str">
        <x:f>IF(B69="","",IF(J69&lt;&gt;"Completed","Not counted",IF(H69&lt;=0,"CHECK TIME","OK")))</x:f>
      </x:c>
    </x:row>
    <x:row r="70">
      <x:c r="A70" t="str">
        <x:f>IF(B70="","",ROW()-1)</x:f>
      </x:c>
      <x:c r="B70" s="24"/>
      <x:c r="C70" t="str">
        <x:f>IF(B70="","",TEXT(B70,"mmm-yyyy"))</x:f>
      </x:c>
      <x:c r="D70" t="str">
        <x:f>IF(B70="","",TEXT(B70,"ddd"))</x:f>
      </x:c>
      <x:c r="E70" s="32"/>
      <x:c r="F70" s="32"/>
      <x:c r="G70"/>
      <x:c r="H70" s="22" t="n">
        <x:f>IF(OR(B70="",J70&lt;&gt;"Completed"),0,IF(AND(ISNUMBER(E70),ISNUMBER(F70)),ROUND(((F70-E70)+(F70&lt;E70))*24-(N(G70)/60),2),0))</x:f>
        <x:v>0</x:v>
      </x:c>
      <x:c r="I70" s="34" t="str">
        <x:f>IF(H70=0,"",H70/24)</x:f>
      </x:c>
      <x:c r="J70"/>
      <x:c r="K70" s="22" t="str">
        <x:f>IF(B70="","",START_HERE!$B$7)</x:f>
      </x:c>
      <x:c r="L70" s="22" t="str">
        <x:f>IF(B70="","",ROUND(K70-H70,2))</x:f>
      </x:c>
      <x:c r="M70"/>
      <x:c r="N70" t="str">
        <x:f>IF(B70="","",IF(J70&lt;&gt;"Completed","Not counted",IF(H70&lt;=0,"CHECK TIME","OK")))</x:f>
      </x:c>
    </x:row>
    <x:row r="71">
      <x:c r="A71" t="str">
        <x:f>IF(B71="","",ROW()-1)</x:f>
      </x:c>
      <x:c r="B71" s="24"/>
      <x:c r="C71" t="str">
        <x:f>IF(B71="","",TEXT(B71,"mmm-yyyy"))</x:f>
      </x:c>
      <x:c r="D71" t="str">
        <x:f>IF(B71="","",TEXT(B71,"ddd"))</x:f>
      </x:c>
      <x:c r="E71" s="32"/>
      <x:c r="F71" s="32"/>
      <x:c r="G71"/>
      <x:c r="H71" s="22" t="n">
        <x:f>IF(OR(B71="",J71&lt;&gt;"Completed"),0,IF(AND(ISNUMBER(E71),ISNUMBER(F71)),ROUND(((F71-E71)+(F71&lt;E71))*24-(N(G71)/60),2),0))</x:f>
        <x:v>0</x:v>
      </x:c>
      <x:c r="I71" s="34" t="str">
        <x:f>IF(H71=0,"",H71/24)</x:f>
      </x:c>
      <x:c r="J71"/>
      <x:c r="K71" s="22" t="str">
        <x:f>IF(B71="","",START_HERE!$B$7)</x:f>
      </x:c>
      <x:c r="L71" s="22" t="str">
        <x:f>IF(B71="","",ROUND(K71-H71,2))</x:f>
      </x:c>
      <x:c r="M71"/>
      <x:c r="N71" t="str">
        <x:f>IF(B71="","",IF(J71&lt;&gt;"Completed","Not counted",IF(H71&lt;=0,"CHECK TIME","OK")))</x:f>
      </x:c>
    </x:row>
    <x:row r="72">
      <x:c r="A72" t="str">
        <x:f>IF(B72="","",ROW()-1)</x:f>
      </x:c>
      <x:c r="B72" s="24"/>
      <x:c r="C72" t="str">
        <x:f>IF(B72="","",TEXT(B72,"mmm-yyyy"))</x:f>
      </x:c>
      <x:c r="D72" t="str">
        <x:f>IF(B72="","",TEXT(B72,"ddd"))</x:f>
      </x:c>
      <x:c r="E72" s="32"/>
      <x:c r="F72" s="32"/>
      <x:c r="G72"/>
      <x:c r="H72" s="22" t="n">
        <x:f>IF(OR(B72="",J72&lt;&gt;"Completed"),0,IF(AND(ISNUMBER(E72),ISNUMBER(F72)),ROUND(((F72-E72)+(F72&lt;E72))*24-(N(G72)/60),2),0))</x:f>
        <x:v>0</x:v>
      </x:c>
      <x:c r="I72" s="34" t="str">
        <x:f>IF(H72=0,"",H72/24)</x:f>
      </x:c>
      <x:c r="J72"/>
      <x:c r="K72" s="22" t="str">
        <x:f>IF(B72="","",START_HERE!$B$7)</x:f>
      </x:c>
      <x:c r="L72" s="22" t="str">
        <x:f>IF(B72="","",ROUND(K72-H72,2))</x:f>
      </x:c>
      <x:c r="M72"/>
      <x:c r="N72" t="str">
        <x:f>IF(B72="","",IF(J72&lt;&gt;"Completed","Not counted",IF(H72&lt;=0,"CHECK TIME","OK")))</x:f>
      </x:c>
    </x:row>
    <x:row r="73">
      <x:c r="A73" t="str">
        <x:f>IF(B73="","",ROW()-1)</x:f>
      </x:c>
      <x:c r="B73" s="24"/>
      <x:c r="C73" t="str">
        <x:f>IF(B73="","",TEXT(B73,"mmm-yyyy"))</x:f>
      </x:c>
      <x:c r="D73" t="str">
        <x:f>IF(B73="","",TEXT(B73,"ddd"))</x:f>
      </x:c>
      <x:c r="E73" s="32"/>
      <x:c r="F73" s="32"/>
      <x:c r="G73"/>
      <x:c r="H73" s="22" t="n">
        <x:f>IF(OR(B73="",J73&lt;&gt;"Completed"),0,IF(AND(ISNUMBER(E73),ISNUMBER(F73)),ROUND(((F73-E73)+(F73&lt;E73))*24-(N(G73)/60),2),0))</x:f>
        <x:v>0</x:v>
      </x:c>
      <x:c r="I73" s="34" t="str">
        <x:f>IF(H73=0,"",H73/24)</x:f>
      </x:c>
      <x:c r="J73"/>
      <x:c r="K73" s="22" t="str">
        <x:f>IF(B73="","",START_HERE!$B$7)</x:f>
      </x:c>
      <x:c r="L73" s="22" t="str">
        <x:f>IF(B73="","",ROUND(K73-H73,2))</x:f>
      </x:c>
      <x:c r="M73"/>
      <x:c r="N73" t="str">
        <x:f>IF(B73="","",IF(J73&lt;&gt;"Completed","Not counted",IF(H73&lt;=0,"CHECK TIME","OK")))</x:f>
      </x:c>
    </x:row>
    <x:row r="74">
      <x:c r="A74" t="str">
        <x:f>IF(B74="","",ROW()-1)</x:f>
      </x:c>
      <x:c r="B74" s="24"/>
      <x:c r="C74" t="str">
        <x:f>IF(B74="","",TEXT(B74,"mmm-yyyy"))</x:f>
      </x:c>
      <x:c r="D74" t="str">
        <x:f>IF(B74="","",TEXT(B74,"ddd"))</x:f>
      </x:c>
      <x:c r="E74" s="32"/>
      <x:c r="F74" s="32"/>
      <x:c r="G74"/>
      <x:c r="H74" s="22" t="n">
        <x:f>IF(OR(B74="",J74&lt;&gt;"Completed"),0,IF(AND(ISNUMBER(E74),ISNUMBER(F74)),ROUND(((F74-E74)+(F74&lt;E74))*24-(N(G74)/60),2),0))</x:f>
        <x:v>0</x:v>
      </x:c>
      <x:c r="I74" s="34" t="str">
        <x:f>IF(H74=0,"",H74/24)</x:f>
      </x:c>
      <x:c r="J74"/>
      <x:c r="K74" s="22" t="str">
        <x:f>IF(B74="","",START_HERE!$B$7)</x:f>
      </x:c>
      <x:c r="L74" s="22" t="str">
        <x:f>IF(B74="","",ROUND(K74-H74,2))</x:f>
      </x:c>
      <x:c r="M74"/>
      <x:c r="N74" t="str">
        <x:f>IF(B74="","",IF(J74&lt;&gt;"Completed","Not counted",IF(H74&lt;=0,"CHECK TIME","OK")))</x:f>
      </x:c>
    </x:row>
    <x:row r="75">
      <x:c r="A75" t="str">
        <x:f>IF(B75="","",ROW()-1)</x:f>
      </x:c>
      <x:c r="B75" s="24"/>
      <x:c r="C75" t="str">
        <x:f>IF(B75="","",TEXT(B75,"mmm-yyyy"))</x:f>
      </x:c>
      <x:c r="D75" t="str">
        <x:f>IF(B75="","",TEXT(B75,"ddd"))</x:f>
      </x:c>
      <x:c r="E75" s="32"/>
      <x:c r="F75" s="32"/>
      <x:c r="G75"/>
      <x:c r="H75" s="22" t="n">
        <x:f>IF(OR(B75="",J75&lt;&gt;"Completed"),0,IF(AND(ISNUMBER(E75),ISNUMBER(F75)),ROUND(((F75-E75)+(F75&lt;E75))*24-(N(G75)/60),2),0))</x:f>
        <x:v>0</x:v>
      </x:c>
      <x:c r="I75" s="34" t="str">
        <x:f>IF(H75=0,"",H75/24)</x:f>
      </x:c>
      <x:c r="J75"/>
      <x:c r="K75" s="22" t="str">
        <x:f>IF(B75="","",START_HERE!$B$7)</x:f>
      </x:c>
      <x:c r="L75" s="22" t="str">
        <x:f>IF(B75="","",ROUND(K75-H75,2))</x:f>
      </x:c>
      <x:c r="M75"/>
      <x:c r="N75" t="str">
        <x:f>IF(B75="","",IF(J75&lt;&gt;"Completed","Not counted",IF(H75&lt;=0,"CHECK TIME","OK")))</x:f>
      </x:c>
    </x:row>
    <x:row r="76">
      <x:c r="A76" t="str">
        <x:f>IF(B76="","",ROW()-1)</x:f>
      </x:c>
      <x:c r="B76" s="24"/>
      <x:c r="C76" t="str">
        <x:f>IF(B76="","",TEXT(B76,"mmm-yyyy"))</x:f>
      </x:c>
      <x:c r="D76" t="str">
        <x:f>IF(B76="","",TEXT(B76,"ddd"))</x:f>
      </x:c>
      <x:c r="E76" s="32"/>
      <x:c r="F76" s="32"/>
      <x:c r="G76"/>
      <x:c r="H76" s="22" t="n">
        <x:f>IF(OR(B76="",J76&lt;&gt;"Completed"),0,IF(AND(ISNUMBER(E76),ISNUMBER(F76)),ROUND(((F76-E76)+(F76&lt;E76))*24-(N(G76)/60),2),0))</x:f>
        <x:v>0</x:v>
      </x:c>
      <x:c r="I76" s="34" t="str">
        <x:f>IF(H76=0,"",H76/24)</x:f>
      </x:c>
      <x:c r="J76"/>
      <x:c r="K76" s="22" t="str">
        <x:f>IF(B76="","",START_HERE!$B$7)</x:f>
      </x:c>
      <x:c r="L76" s="22" t="str">
        <x:f>IF(B76="","",ROUND(K76-H76,2))</x:f>
      </x:c>
      <x:c r="M76"/>
      <x:c r="N76" t="str">
        <x:f>IF(B76="","",IF(J76&lt;&gt;"Completed","Not counted",IF(H76&lt;=0,"CHECK TIME","OK")))</x:f>
      </x:c>
    </x:row>
    <x:row r="77">
      <x:c r="A77" t="str">
        <x:f>IF(B77="","",ROW()-1)</x:f>
      </x:c>
      <x:c r="B77" s="24"/>
      <x:c r="C77" t="str">
        <x:f>IF(B77="","",TEXT(B77,"mmm-yyyy"))</x:f>
      </x:c>
      <x:c r="D77" t="str">
        <x:f>IF(B77="","",TEXT(B77,"ddd"))</x:f>
      </x:c>
      <x:c r="E77" s="32"/>
      <x:c r="F77" s="32"/>
      <x:c r="G77"/>
      <x:c r="H77" s="22" t="n">
        <x:f>IF(OR(B77="",J77&lt;&gt;"Completed"),0,IF(AND(ISNUMBER(E77),ISNUMBER(F77)),ROUND(((F77-E77)+(F77&lt;E77))*24-(N(G77)/60),2),0))</x:f>
        <x:v>0</x:v>
      </x:c>
      <x:c r="I77" s="34" t="str">
        <x:f>IF(H77=0,"",H77/24)</x:f>
      </x:c>
      <x:c r="J77"/>
      <x:c r="K77" s="22" t="str">
        <x:f>IF(B77="","",START_HERE!$B$7)</x:f>
      </x:c>
      <x:c r="L77" s="22" t="str">
        <x:f>IF(B77="","",ROUND(K77-H77,2))</x:f>
      </x:c>
      <x:c r="M77"/>
      <x:c r="N77" t="str">
        <x:f>IF(B77="","",IF(J77&lt;&gt;"Completed","Not counted",IF(H77&lt;=0,"CHECK TIME","OK")))</x:f>
      </x:c>
    </x:row>
    <x:row r="78">
      <x:c r="A78" t="str">
        <x:f>IF(B78="","",ROW()-1)</x:f>
      </x:c>
      <x:c r="B78" s="24"/>
      <x:c r="C78" t="str">
        <x:f>IF(B78="","",TEXT(B78,"mmm-yyyy"))</x:f>
      </x:c>
      <x:c r="D78" t="str">
        <x:f>IF(B78="","",TEXT(B78,"ddd"))</x:f>
      </x:c>
      <x:c r="E78" s="32"/>
      <x:c r="F78" s="32"/>
      <x:c r="G78"/>
      <x:c r="H78" s="22" t="n">
        <x:f>IF(OR(B78="",J78&lt;&gt;"Completed"),0,IF(AND(ISNUMBER(E78),ISNUMBER(F78)),ROUND(((F78-E78)+(F78&lt;E78))*24-(N(G78)/60),2),0))</x:f>
        <x:v>0</x:v>
      </x:c>
      <x:c r="I78" s="34" t="str">
        <x:f>IF(H78=0,"",H78/24)</x:f>
      </x:c>
      <x:c r="J78"/>
      <x:c r="K78" s="22" t="str">
        <x:f>IF(B78="","",START_HERE!$B$7)</x:f>
      </x:c>
      <x:c r="L78" s="22" t="str">
        <x:f>IF(B78="","",ROUND(K78-H78,2))</x:f>
      </x:c>
      <x:c r="M78"/>
      <x:c r="N78" t="str">
        <x:f>IF(B78="","",IF(J78&lt;&gt;"Completed","Not counted",IF(H78&lt;=0,"CHECK TIME","OK")))</x:f>
      </x:c>
    </x:row>
    <x:row r="79">
      <x:c r="A79" t="str">
        <x:f>IF(B79="","",ROW()-1)</x:f>
      </x:c>
      <x:c r="B79" s="24"/>
      <x:c r="C79" t="str">
        <x:f>IF(B79="","",TEXT(B79,"mmm-yyyy"))</x:f>
      </x:c>
      <x:c r="D79" t="str">
        <x:f>IF(B79="","",TEXT(B79,"ddd"))</x:f>
      </x:c>
      <x:c r="E79" s="32"/>
      <x:c r="F79" s="32"/>
      <x:c r="G79"/>
      <x:c r="H79" s="22" t="n">
        <x:f>IF(OR(B79="",J79&lt;&gt;"Completed"),0,IF(AND(ISNUMBER(E79),ISNUMBER(F79)),ROUND(((F79-E79)+(F79&lt;E79))*24-(N(G79)/60),2),0))</x:f>
        <x:v>0</x:v>
      </x:c>
      <x:c r="I79" s="34" t="str">
        <x:f>IF(H79=0,"",H79/24)</x:f>
      </x:c>
      <x:c r="J79"/>
      <x:c r="K79" s="22" t="str">
        <x:f>IF(B79="","",START_HERE!$B$7)</x:f>
      </x:c>
      <x:c r="L79" s="22" t="str">
        <x:f>IF(B79="","",ROUND(K79-H79,2))</x:f>
      </x:c>
      <x:c r="M79"/>
      <x:c r="N79" t="str">
        <x:f>IF(B79="","",IF(J79&lt;&gt;"Completed","Not counted",IF(H79&lt;=0,"CHECK TIME","OK")))</x:f>
      </x:c>
    </x:row>
    <x:row r="80">
      <x:c r="A80" t="str">
        <x:f>IF(B80="","",ROW()-1)</x:f>
      </x:c>
      <x:c r="B80" s="24"/>
      <x:c r="C80" t="str">
        <x:f>IF(B80="","",TEXT(B80,"mmm-yyyy"))</x:f>
      </x:c>
      <x:c r="D80" t="str">
        <x:f>IF(B80="","",TEXT(B80,"ddd"))</x:f>
      </x:c>
      <x:c r="E80" s="32"/>
      <x:c r="F80" s="32"/>
      <x:c r="G80"/>
      <x:c r="H80" s="22" t="n">
        <x:f>IF(OR(B80="",J80&lt;&gt;"Completed"),0,IF(AND(ISNUMBER(E80),ISNUMBER(F80)),ROUND(((F80-E80)+(F80&lt;E80))*24-(N(G80)/60),2),0))</x:f>
        <x:v>0</x:v>
      </x:c>
      <x:c r="I80" s="34" t="str">
        <x:f>IF(H80=0,"",H80/24)</x:f>
      </x:c>
      <x:c r="J80"/>
      <x:c r="K80" s="22" t="str">
        <x:f>IF(B80="","",START_HERE!$B$7)</x:f>
      </x:c>
      <x:c r="L80" s="22" t="str">
        <x:f>IF(B80="","",ROUND(K80-H80,2))</x:f>
      </x:c>
      <x:c r="M80"/>
      <x:c r="N80" t="str">
        <x:f>IF(B80="","",IF(J80&lt;&gt;"Completed","Not counted",IF(H80&lt;=0,"CHECK TIME","OK")))</x:f>
      </x:c>
    </x:row>
    <x:row r="81">
      <x:c r="A81" t="str">
        <x:f>IF(B81="","",ROW()-1)</x:f>
      </x:c>
      <x:c r="B81" s="24"/>
      <x:c r="C81" t="str">
        <x:f>IF(B81="","",TEXT(B81,"mmm-yyyy"))</x:f>
      </x:c>
      <x:c r="D81" t="str">
        <x:f>IF(B81="","",TEXT(B81,"ddd"))</x:f>
      </x:c>
      <x:c r="E81" s="32"/>
      <x:c r="F81" s="32"/>
      <x:c r="G81"/>
      <x:c r="H81" s="22" t="n">
        <x:f>IF(OR(B81="",J81&lt;&gt;"Completed"),0,IF(AND(ISNUMBER(E81),ISNUMBER(F81)),ROUND(((F81-E81)+(F81&lt;E81))*24-(N(G81)/60),2),0))</x:f>
        <x:v>0</x:v>
      </x:c>
      <x:c r="I81" s="34" t="str">
        <x:f>IF(H81=0,"",H81/24)</x:f>
      </x:c>
      <x:c r="J81"/>
      <x:c r="K81" s="22" t="str">
        <x:f>IF(B81="","",START_HERE!$B$7)</x:f>
      </x:c>
      <x:c r="L81" s="22" t="str">
        <x:f>IF(B81="","",ROUND(K81-H81,2))</x:f>
      </x:c>
      <x:c r="M81"/>
      <x:c r="N81" t="str">
        <x:f>IF(B81="","",IF(J81&lt;&gt;"Completed","Not counted",IF(H81&lt;=0,"CHECK TIME","OK")))</x:f>
      </x:c>
    </x:row>
    <x:row r="82">
      <x:c r="A82" t="str">
        <x:f>IF(B82="","",ROW()-1)</x:f>
      </x:c>
      <x:c r="B82" s="24"/>
      <x:c r="C82" t="str">
        <x:f>IF(B82="","",TEXT(B82,"mmm-yyyy"))</x:f>
      </x:c>
      <x:c r="D82" t="str">
        <x:f>IF(B82="","",TEXT(B82,"ddd"))</x:f>
      </x:c>
      <x:c r="E82" s="32"/>
      <x:c r="F82" s="32"/>
      <x:c r="G82"/>
      <x:c r="H82" s="22" t="n">
        <x:f>IF(OR(B82="",J82&lt;&gt;"Completed"),0,IF(AND(ISNUMBER(E82),ISNUMBER(F82)),ROUND(((F82-E82)+(F82&lt;E82))*24-(N(G82)/60),2),0))</x:f>
        <x:v>0</x:v>
      </x:c>
      <x:c r="I82" s="34" t="str">
        <x:f>IF(H82=0,"",H82/24)</x:f>
      </x:c>
      <x:c r="J82"/>
      <x:c r="K82" s="22" t="str">
        <x:f>IF(B82="","",START_HERE!$B$7)</x:f>
      </x:c>
      <x:c r="L82" s="22" t="str">
        <x:f>IF(B82="","",ROUND(K82-H82,2))</x:f>
      </x:c>
      <x:c r="M82"/>
      <x:c r="N82" t="str">
        <x:f>IF(B82="","",IF(J82&lt;&gt;"Completed","Not counted",IF(H82&lt;=0,"CHECK TIME","OK")))</x:f>
      </x:c>
    </x:row>
    <x:row r="83">
      <x:c r="A83" t="str">
        <x:f>IF(B83="","",ROW()-1)</x:f>
      </x:c>
      <x:c r="B83" s="24"/>
      <x:c r="C83" t="str">
        <x:f>IF(B83="","",TEXT(B83,"mmm-yyyy"))</x:f>
      </x:c>
      <x:c r="D83" t="str">
        <x:f>IF(B83="","",TEXT(B83,"ddd"))</x:f>
      </x:c>
      <x:c r="E83" s="32"/>
      <x:c r="F83" s="32"/>
      <x:c r="G83"/>
      <x:c r="H83" s="22" t="n">
        <x:f>IF(OR(B83="",J83&lt;&gt;"Completed"),0,IF(AND(ISNUMBER(E83),ISNUMBER(F83)),ROUND(((F83-E83)+(F83&lt;E83))*24-(N(G83)/60),2),0))</x:f>
        <x:v>0</x:v>
      </x:c>
      <x:c r="I83" s="34" t="str">
        <x:f>IF(H83=0,"",H83/24)</x:f>
      </x:c>
      <x:c r="J83"/>
      <x:c r="K83" s="22" t="str">
        <x:f>IF(B83="","",START_HERE!$B$7)</x:f>
      </x:c>
      <x:c r="L83" s="22" t="str">
        <x:f>IF(B83="","",ROUND(K83-H83,2))</x:f>
      </x:c>
      <x:c r="M83"/>
      <x:c r="N83" t="str">
        <x:f>IF(B83="","",IF(J83&lt;&gt;"Completed","Not counted",IF(H83&lt;=0,"CHECK TIME","OK")))</x:f>
      </x:c>
    </x:row>
    <x:row r="84">
      <x:c r="A84" t="str">
        <x:f>IF(B84="","",ROW()-1)</x:f>
      </x:c>
      <x:c r="B84" s="24"/>
      <x:c r="C84" t="str">
        <x:f>IF(B84="","",TEXT(B84,"mmm-yyyy"))</x:f>
      </x:c>
      <x:c r="D84" t="str">
        <x:f>IF(B84="","",TEXT(B84,"ddd"))</x:f>
      </x:c>
      <x:c r="E84" s="32"/>
      <x:c r="F84" s="32"/>
      <x:c r="G84"/>
      <x:c r="H84" s="22" t="n">
        <x:f>IF(OR(B84="",J84&lt;&gt;"Completed"),0,IF(AND(ISNUMBER(E84),ISNUMBER(F84)),ROUND(((F84-E84)+(F84&lt;E84))*24-(N(G84)/60),2),0))</x:f>
        <x:v>0</x:v>
      </x:c>
      <x:c r="I84" s="34" t="str">
        <x:f>IF(H84=0,"",H84/24)</x:f>
      </x:c>
      <x:c r="J84"/>
      <x:c r="K84" s="22" t="str">
        <x:f>IF(B84="","",START_HERE!$B$7)</x:f>
      </x:c>
      <x:c r="L84" s="22" t="str">
        <x:f>IF(B84="","",ROUND(K84-H84,2))</x:f>
      </x:c>
      <x:c r="M84"/>
      <x:c r="N84" t="str">
        <x:f>IF(B84="","",IF(J84&lt;&gt;"Completed","Not counted",IF(H84&lt;=0,"CHECK TIME","OK")))</x:f>
      </x:c>
    </x:row>
    <x:row r="85">
      <x:c r="A85" t="str">
        <x:f>IF(B85="","",ROW()-1)</x:f>
      </x:c>
      <x:c r="B85" s="24"/>
      <x:c r="C85" t="str">
        <x:f>IF(B85="","",TEXT(B85,"mmm-yyyy"))</x:f>
      </x:c>
      <x:c r="D85" t="str">
        <x:f>IF(B85="","",TEXT(B85,"ddd"))</x:f>
      </x:c>
      <x:c r="E85" s="32"/>
      <x:c r="F85" s="32"/>
      <x:c r="G85"/>
      <x:c r="H85" s="22" t="n">
        <x:f>IF(OR(B85="",J85&lt;&gt;"Completed"),0,IF(AND(ISNUMBER(E85),ISNUMBER(F85)),ROUND(((F85-E85)+(F85&lt;E85))*24-(N(G85)/60),2),0))</x:f>
        <x:v>0</x:v>
      </x:c>
      <x:c r="I85" s="34" t="str">
        <x:f>IF(H85=0,"",H85/24)</x:f>
      </x:c>
      <x:c r="J85"/>
      <x:c r="K85" s="22" t="str">
        <x:f>IF(B85="","",START_HERE!$B$7)</x:f>
      </x:c>
      <x:c r="L85" s="22" t="str">
        <x:f>IF(B85="","",ROUND(K85-H85,2))</x:f>
      </x:c>
      <x:c r="M85"/>
      <x:c r="N85" t="str">
        <x:f>IF(B85="","",IF(J85&lt;&gt;"Completed","Not counted",IF(H85&lt;=0,"CHECK TIME","OK")))</x:f>
      </x:c>
    </x:row>
    <x:row r="86">
      <x:c r="A86" t="str">
        <x:f>IF(B86="","",ROW()-1)</x:f>
      </x:c>
      <x:c r="B86" s="24"/>
      <x:c r="C86" t="str">
        <x:f>IF(B86="","",TEXT(B86,"mmm-yyyy"))</x:f>
      </x:c>
      <x:c r="D86" t="str">
        <x:f>IF(B86="","",TEXT(B86,"ddd"))</x:f>
      </x:c>
      <x:c r="E86" s="32"/>
      <x:c r="F86" s="32"/>
      <x:c r="G86"/>
      <x:c r="H86" s="22" t="n">
        <x:f>IF(OR(B86="",J86&lt;&gt;"Completed"),0,IF(AND(ISNUMBER(E86),ISNUMBER(F86)),ROUND(((F86-E86)+(F86&lt;E86))*24-(N(G86)/60),2),0))</x:f>
        <x:v>0</x:v>
      </x:c>
      <x:c r="I86" s="34" t="str">
        <x:f>IF(H86=0,"",H86/24)</x:f>
      </x:c>
      <x:c r="J86"/>
      <x:c r="K86" s="22" t="str">
        <x:f>IF(B86="","",START_HERE!$B$7)</x:f>
      </x:c>
      <x:c r="L86" s="22" t="str">
        <x:f>IF(B86="","",ROUND(K86-H86,2))</x:f>
      </x:c>
      <x:c r="M86"/>
      <x:c r="N86" t="str">
        <x:f>IF(B86="","",IF(J86&lt;&gt;"Completed","Not counted",IF(H86&lt;=0,"CHECK TIME","OK")))</x:f>
      </x:c>
    </x:row>
    <x:row r="87">
      <x:c r="A87" t="str">
        <x:f>IF(B87="","",ROW()-1)</x:f>
      </x:c>
      <x:c r="B87" s="24"/>
      <x:c r="C87" t="str">
        <x:f>IF(B87="","",TEXT(B87,"mmm-yyyy"))</x:f>
      </x:c>
      <x:c r="D87" t="str">
        <x:f>IF(B87="","",TEXT(B87,"ddd"))</x:f>
      </x:c>
      <x:c r="E87" s="32"/>
      <x:c r="F87" s="32"/>
      <x:c r="G87"/>
      <x:c r="H87" s="22" t="n">
        <x:f>IF(OR(B87="",J87&lt;&gt;"Completed"),0,IF(AND(ISNUMBER(E87),ISNUMBER(F87)),ROUND(((F87-E87)+(F87&lt;E87))*24-(N(G87)/60),2),0))</x:f>
        <x:v>0</x:v>
      </x:c>
      <x:c r="I87" s="34" t="str">
        <x:f>IF(H87=0,"",H87/24)</x:f>
      </x:c>
      <x:c r="J87"/>
      <x:c r="K87" s="22" t="str">
        <x:f>IF(B87="","",START_HERE!$B$7)</x:f>
      </x:c>
      <x:c r="L87" s="22" t="str">
        <x:f>IF(B87="","",ROUND(K87-H87,2))</x:f>
      </x:c>
      <x:c r="M87"/>
      <x:c r="N87" t="str">
        <x:f>IF(B87="","",IF(J87&lt;&gt;"Completed","Not counted",IF(H87&lt;=0,"CHECK TIME","OK")))</x:f>
      </x:c>
    </x:row>
    <x:row r="88">
      <x:c r="A88" t="str">
        <x:f>IF(B88="","",ROW()-1)</x:f>
      </x:c>
      <x:c r="B88" s="24"/>
      <x:c r="C88" t="str">
        <x:f>IF(B88="","",TEXT(B88,"mmm-yyyy"))</x:f>
      </x:c>
      <x:c r="D88" t="str">
        <x:f>IF(B88="","",TEXT(B88,"ddd"))</x:f>
      </x:c>
      <x:c r="E88" s="32"/>
      <x:c r="F88" s="32"/>
      <x:c r="G88"/>
      <x:c r="H88" s="22" t="n">
        <x:f>IF(OR(B88="",J88&lt;&gt;"Completed"),0,IF(AND(ISNUMBER(E88),ISNUMBER(F88)),ROUND(((F88-E88)+(F88&lt;E88))*24-(N(G88)/60),2),0))</x:f>
        <x:v>0</x:v>
      </x:c>
      <x:c r="I88" s="34" t="str">
        <x:f>IF(H88=0,"",H88/24)</x:f>
      </x:c>
      <x:c r="J88"/>
      <x:c r="K88" s="22" t="str">
        <x:f>IF(B88="","",START_HERE!$B$7)</x:f>
      </x:c>
      <x:c r="L88" s="22" t="str">
        <x:f>IF(B88="","",ROUND(K88-H88,2))</x:f>
      </x:c>
      <x:c r="M88"/>
      <x:c r="N88" t="str">
        <x:f>IF(B88="","",IF(J88&lt;&gt;"Completed","Not counted",IF(H88&lt;=0,"CHECK TIME","OK")))</x:f>
      </x:c>
    </x:row>
    <x:row r="89">
      <x:c r="A89" t="str">
        <x:f>IF(B89="","",ROW()-1)</x:f>
      </x:c>
      <x:c r="B89" s="24"/>
      <x:c r="C89" t="str">
        <x:f>IF(B89="","",TEXT(B89,"mmm-yyyy"))</x:f>
      </x:c>
      <x:c r="D89" t="str">
        <x:f>IF(B89="","",TEXT(B89,"ddd"))</x:f>
      </x:c>
      <x:c r="E89" s="32"/>
      <x:c r="F89" s="32"/>
      <x:c r="G89"/>
      <x:c r="H89" s="22" t="n">
        <x:f>IF(OR(B89="",J89&lt;&gt;"Completed"),0,IF(AND(ISNUMBER(E89),ISNUMBER(F89)),ROUND(((F89-E89)+(F89&lt;E89))*24-(N(G89)/60),2),0))</x:f>
        <x:v>0</x:v>
      </x:c>
      <x:c r="I89" s="34" t="str">
        <x:f>IF(H89=0,"",H89/24)</x:f>
      </x:c>
      <x:c r="J89"/>
      <x:c r="K89" s="22" t="str">
        <x:f>IF(B89="","",START_HERE!$B$7)</x:f>
      </x:c>
      <x:c r="L89" s="22" t="str">
        <x:f>IF(B89="","",ROUND(K89-H89,2))</x:f>
      </x:c>
      <x:c r="M89"/>
      <x:c r="N89" t="str">
        <x:f>IF(B89="","",IF(J89&lt;&gt;"Completed","Not counted",IF(H89&lt;=0,"CHECK TIME","OK")))</x:f>
      </x:c>
    </x:row>
    <x:row r="90">
      <x:c r="A90" t="str">
        <x:f>IF(B90="","",ROW()-1)</x:f>
      </x:c>
      <x:c r="B90" s="24"/>
      <x:c r="C90" t="str">
        <x:f>IF(B90="","",TEXT(B90,"mmm-yyyy"))</x:f>
      </x:c>
      <x:c r="D90" t="str">
        <x:f>IF(B90="","",TEXT(B90,"ddd"))</x:f>
      </x:c>
      <x:c r="E90" s="32"/>
      <x:c r="F90" s="32"/>
      <x:c r="G90"/>
      <x:c r="H90" s="22" t="n">
        <x:f>IF(OR(B90="",J90&lt;&gt;"Completed"),0,IF(AND(ISNUMBER(E90),ISNUMBER(F90)),ROUND(((F90-E90)+(F90&lt;E90))*24-(N(G90)/60),2),0))</x:f>
        <x:v>0</x:v>
      </x:c>
      <x:c r="I90" s="34" t="str">
        <x:f>IF(H90=0,"",H90/24)</x:f>
      </x:c>
      <x:c r="J90"/>
      <x:c r="K90" s="22" t="str">
        <x:f>IF(B90="","",START_HERE!$B$7)</x:f>
      </x:c>
      <x:c r="L90" s="22" t="str">
        <x:f>IF(B90="","",ROUND(K90-H90,2))</x:f>
      </x:c>
      <x:c r="M90"/>
      <x:c r="N90" t="str">
        <x:f>IF(B90="","",IF(J90&lt;&gt;"Completed","Not counted",IF(H90&lt;=0,"CHECK TIME","OK")))</x:f>
      </x:c>
    </x:row>
    <x:row r="91">
      <x:c r="A91" t="str">
        <x:f>IF(B91="","",ROW()-1)</x:f>
      </x:c>
      <x:c r="B91" s="24"/>
      <x:c r="C91" t="str">
        <x:f>IF(B91="","",TEXT(B91,"mmm-yyyy"))</x:f>
      </x:c>
      <x:c r="D91" t="str">
        <x:f>IF(B91="","",TEXT(B91,"ddd"))</x:f>
      </x:c>
      <x:c r="E91" s="32"/>
      <x:c r="F91" s="32"/>
      <x:c r="G91"/>
      <x:c r="H91" s="22" t="n">
        <x:f>IF(OR(B91="",J91&lt;&gt;"Completed"),0,IF(AND(ISNUMBER(E91),ISNUMBER(F91)),ROUND(((F91-E91)+(F91&lt;E91))*24-(N(G91)/60),2),0))</x:f>
        <x:v>0</x:v>
      </x:c>
      <x:c r="I91" s="34" t="str">
        <x:f>IF(H91=0,"",H91/24)</x:f>
      </x:c>
      <x:c r="J91"/>
      <x:c r="K91" s="22" t="str">
        <x:f>IF(B91="","",START_HERE!$B$7)</x:f>
      </x:c>
      <x:c r="L91" s="22" t="str">
        <x:f>IF(B91="","",ROUND(K91-H91,2))</x:f>
      </x:c>
      <x:c r="M91"/>
      <x:c r="N91" t="str">
        <x:f>IF(B91="","",IF(J91&lt;&gt;"Completed","Not counted",IF(H91&lt;=0,"CHECK TIME","OK")))</x:f>
      </x:c>
    </x:row>
    <x:row r="92">
      <x:c r="A92" t="str">
        <x:f>IF(B92="","",ROW()-1)</x:f>
      </x:c>
      <x:c r="B92" s="24"/>
      <x:c r="C92" t="str">
        <x:f>IF(B92="","",TEXT(B92,"mmm-yyyy"))</x:f>
      </x:c>
      <x:c r="D92" t="str">
        <x:f>IF(B92="","",TEXT(B92,"ddd"))</x:f>
      </x:c>
      <x:c r="E92" s="32"/>
      <x:c r="F92" s="32"/>
      <x:c r="G92"/>
      <x:c r="H92" s="22" t="n">
        <x:f>IF(OR(B92="",J92&lt;&gt;"Completed"),0,IF(AND(ISNUMBER(E92),ISNUMBER(F92)),ROUND(((F92-E92)+(F92&lt;E92))*24-(N(G92)/60),2),0))</x:f>
        <x:v>0</x:v>
      </x:c>
      <x:c r="I92" s="34" t="str">
        <x:f>IF(H92=0,"",H92/24)</x:f>
      </x:c>
      <x:c r="J92"/>
      <x:c r="K92" s="22" t="str">
        <x:f>IF(B92="","",START_HERE!$B$7)</x:f>
      </x:c>
      <x:c r="L92" s="22" t="str">
        <x:f>IF(B92="","",ROUND(K92-H92,2))</x:f>
      </x:c>
      <x:c r="M92"/>
      <x:c r="N92" t="str">
        <x:f>IF(B92="","",IF(J92&lt;&gt;"Completed","Not counted",IF(H92&lt;=0,"CHECK TIME","OK")))</x:f>
      </x:c>
    </x:row>
    <x:row r="93">
      <x:c r="A93" t="str">
        <x:f>IF(B93="","",ROW()-1)</x:f>
      </x:c>
      <x:c r="B93" s="24"/>
      <x:c r="C93" t="str">
        <x:f>IF(B93="","",TEXT(B93,"mmm-yyyy"))</x:f>
      </x:c>
      <x:c r="D93" t="str">
        <x:f>IF(B93="","",TEXT(B93,"ddd"))</x:f>
      </x:c>
      <x:c r="E93" s="32"/>
      <x:c r="F93" s="32"/>
      <x:c r="G93"/>
      <x:c r="H93" s="22" t="n">
        <x:f>IF(OR(B93="",J93&lt;&gt;"Completed"),0,IF(AND(ISNUMBER(E93),ISNUMBER(F93)),ROUND(((F93-E93)+(F93&lt;E93))*24-(N(G93)/60),2),0))</x:f>
        <x:v>0</x:v>
      </x:c>
      <x:c r="I93" s="34" t="str">
        <x:f>IF(H93=0,"",H93/24)</x:f>
      </x:c>
      <x:c r="J93"/>
      <x:c r="K93" s="22" t="str">
        <x:f>IF(B93="","",START_HERE!$B$7)</x:f>
      </x:c>
      <x:c r="L93" s="22" t="str">
        <x:f>IF(B93="","",ROUND(K93-H93,2))</x:f>
      </x:c>
      <x:c r="M93"/>
      <x:c r="N93" t="str">
        <x:f>IF(B93="","",IF(J93&lt;&gt;"Completed","Not counted",IF(H93&lt;=0,"CHECK TIME","OK")))</x:f>
      </x:c>
    </x:row>
    <x:row r="94">
      <x:c r="A94" t="str">
        <x:f>IF(B94="","",ROW()-1)</x:f>
      </x:c>
      <x:c r="B94" s="24"/>
      <x:c r="C94" t="str">
        <x:f>IF(B94="","",TEXT(B94,"mmm-yyyy"))</x:f>
      </x:c>
      <x:c r="D94" t="str">
        <x:f>IF(B94="","",TEXT(B94,"ddd"))</x:f>
      </x:c>
      <x:c r="E94" s="32"/>
      <x:c r="F94" s="32"/>
      <x:c r="G94"/>
      <x:c r="H94" s="22" t="n">
        <x:f>IF(OR(B94="",J94&lt;&gt;"Completed"),0,IF(AND(ISNUMBER(E94),ISNUMBER(F94)),ROUND(((F94-E94)+(F94&lt;E94))*24-(N(G94)/60),2),0))</x:f>
        <x:v>0</x:v>
      </x:c>
      <x:c r="I94" s="34" t="str">
        <x:f>IF(H94=0,"",H94/24)</x:f>
      </x:c>
      <x:c r="J94"/>
      <x:c r="K94" s="22" t="str">
        <x:f>IF(B94="","",START_HERE!$B$7)</x:f>
      </x:c>
      <x:c r="L94" s="22" t="str">
        <x:f>IF(B94="","",ROUND(K94-H94,2))</x:f>
      </x:c>
      <x:c r="M94"/>
      <x:c r="N94" t="str">
        <x:f>IF(B94="","",IF(J94&lt;&gt;"Completed","Not counted",IF(H94&lt;=0,"CHECK TIME","OK")))</x:f>
      </x:c>
    </x:row>
    <x:row r="95">
      <x:c r="A95" t="str">
        <x:f>IF(B95="","",ROW()-1)</x:f>
      </x:c>
      <x:c r="B95" s="24"/>
      <x:c r="C95" t="str">
        <x:f>IF(B95="","",TEXT(B95,"mmm-yyyy"))</x:f>
      </x:c>
      <x:c r="D95" t="str">
        <x:f>IF(B95="","",TEXT(B95,"ddd"))</x:f>
      </x:c>
      <x:c r="E95" s="32"/>
      <x:c r="F95" s="32"/>
      <x:c r="G95"/>
      <x:c r="H95" s="22" t="n">
        <x:f>IF(OR(B95="",J95&lt;&gt;"Completed"),0,IF(AND(ISNUMBER(E95),ISNUMBER(F95)),ROUND(((F95-E95)+(F95&lt;E95))*24-(N(G95)/60),2),0))</x:f>
        <x:v>0</x:v>
      </x:c>
      <x:c r="I95" s="34" t="str">
        <x:f>IF(H95=0,"",H95/24)</x:f>
      </x:c>
      <x:c r="J95"/>
      <x:c r="K95" s="22" t="str">
        <x:f>IF(B95="","",START_HERE!$B$7)</x:f>
      </x:c>
      <x:c r="L95" s="22" t="str">
        <x:f>IF(B95="","",ROUND(K95-H95,2))</x:f>
      </x:c>
      <x:c r="M95"/>
      <x:c r="N95" t="str">
        <x:f>IF(B95="","",IF(J95&lt;&gt;"Completed","Not counted",IF(H95&lt;=0,"CHECK TIME","OK")))</x:f>
      </x:c>
    </x:row>
    <x:row r="96">
      <x:c r="A96" t="str">
        <x:f>IF(B96="","",ROW()-1)</x:f>
      </x:c>
      <x:c r="B96" s="24"/>
      <x:c r="C96" t="str">
        <x:f>IF(B96="","",TEXT(B96,"mmm-yyyy"))</x:f>
      </x:c>
      <x:c r="D96" t="str">
        <x:f>IF(B96="","",TEXT(B96,"ddd"))</x:f>
      </x:c>
      <x:c r="E96" s="32"/>
      <x:c r="F96" s="32"/>
      <x:c r="G96"/>
      <x:c r="H96" s="22" t="n">
        <x:f>IF(OR(B96="",J96&lt;&gt;"Completed"),0,IF(AND(ISNUMBER(E96),ISNUMBER(F96)),ROUND(((F96-E96)+(F96&lt;E96))*24-(N(G96)/60),2),0))</x:f>
        <x:v>0</x:v>
      </x:c>
      <x:c r="I96" s="34" t="str">
        <x:f>IF(H96=0,"",H96/24)</x:f>
      </x:c>
      <x:c r="J96"/>
      <x:c r="K96" s="22" t="str">
        <x:f>IF(B96="","",START_HERE!$B$7)</x:f>
      </x:c>
      <x:c r="L96" s="22" t="str">
        <x:f>IF(B96="","",ROUND(K96-H96,2))</x:f>
      </x:c>
      <x:c r="M96"/>
      <x:c r="N96" t="str">
        <x:f>IF(B96="","",IF(J96&lt;&gt;"Completed","Not counted",IF(H96&lt;=0,"CHECK TIME","OK")))</x:f>
      </x:c>
    </x:row>
    <x:row r="97">
      <x:c r="A97" t="str">
        <x:f>IF(B97="","",ROW()-1)</x:f>
      </x:c>
      <x:c r="B97" s="24"/>
      <x:c r="C97" t="str">
        <x:f>IF(B97="","",TEXT(B97,"mmm-yyyy"))</x:f>
      </x:c>
      <x:c r="D97" t="str">
        <x:f>IF(B97="","",TEXT(B97,"ddd"))</x:f>
      </x:c>
      <x:c r="E97" s="32"/>
      <x:c r="F97" s="32"/>
      <x:c r="G97"/>
      <x:c r="H97" s="22" t="n">
        <x:f>IF(OR(B97="",J97&lt;&gt;"Completed"),0,IF(AND(ISNUMBER(E97),ISNUMBER(F97)),ROUND(((F97-E97)+(F97&lt;E97))*24-(N(G97)/60),2),0))</x:f>
        <x:v>0</x:v>
      </x:c>
      <x:c r="I97" s="34" t="str">
        <x:f>IF(H97=0,"",H97/24)</x:f>
      </x:c>
      <x:c r="J97"/>
      <x:c r="K97" s="22" t="str">
        <x:f>IF(B97="","",START_HERE!$B$7)</x:f>
      </x:c>
      <x:c r="L97" s="22" t="str">
        <x:f>IF(B97="","",ROUND(K97-H97,2))</x:f>
      </x:c>
      <x:c r="M97"/>
      <x:c r="N97" t="str">
        <x:f>IF(B97="","",IF(J97&lt;&gt;"Completed","Not counted",IF(H97&lt;=0,"CHECK TIME","OK")))</x:f>
      </x:c>
    </x:row>
    <x:row r="98">
      <x:c r="A98" t="str">
        <x:f>IF(B98="","",ROW()-1)</x:f>
      </x:c>
      <x:c r="B98" s="24"/>
      <x:c r="C98" t="str">
        <x:f>IF(B98="","",TEXT(B98,"mmm-yyyy"))</x:f>
      </x:c>
      <x:c r="D98" t="str">
        <x:f>IF(B98="","",TEXT(B98,"ddd"))</x:f>
      </x:c>
      <x:c r="E98" s="32"/>
      <x:c r="F98" s="32"/>
      <x:c r="G98"/>
      <x:c r="H98" s="22" t="n">
        <x:f>IF(OR(B98="",J98&lt;&gt;"Completed"),0,IF(AND(ISNUMBER(E98),ISNUMBER(F98)),ROUND(((F98-E98)+(F98&lt;E98))*24-(N(G98)/60),2),0))</x:f>
        <x:v>0</x:v>
      </x:c>
      <x:c r="I98" s="34" t="str">
        <x:f>IF(H98=0,"",H98/24)</x:f>
      </x:c>
      <x:c r="J98"/>
      <x:c r="K98" s="22" t="str">
        <x:f>IF(B98="","",START_HERE!$B$7)</x:f>
      </x:c>
      <x:c r="L98" s="22" t="str">
        <x:f>IF(B98="","",ROUND(K98-H98,2))</x:f>
      </x:c>
      <x:c r="M98"/>
      <x:c r="N98" t="str">
        <x:f>IF(B98="","",IF(J98&lt;&gt;"Completed","Not counted",IF(H98&lt;=0,"CHECK TIME","OK")))</x:f>
      </x:c>
    </x:row>
    <x:row r="99">
      <x:c r="A99" t="str">
        <x:f>IF(B99="","",ROW()-1)</x:f>
      </x:c>
      <x:c r="B99" s="24"/>
      <x:c r="C99" t="str">
        <x:f>IF(B99="","",TEXT(B99,"mmm-yyyy"))</x:f>
      </x:c>
      <x:c r="D99" t="str">
        <x:f>IF(B99="","",TEXT(B99,"ddd"))</x:f>
      </x:c>
      <x:c r="E99" s="32"/>
      <x:c r="F99" s="32"/>
      <x:c r="G99"/>
      <x:c r="H99" s="22" t="n">
        <x:f>IF(OR(B99="",J99&lt;&gt;"Completed"),0,IF(AND(ISNUMBER(E99),ISNUMBER(F99)),ROUND(((F99-E99)+(F99&lt;E99))*24-(N(G99)/60),2),0))</x:f>
        <x:v>0</x:v>
      </x:c>
      <x:c r="I99" s="34" t="str">
        <x:f>IF(H99=0,"",H99/24)</x:f>
      </x:c>
      <x:c r="J99"/>
      <x:c r="K99" s="22" t="str">
        <x:f>IF(B99="","",START_HERE!$B$7)</x:f>
      </x:c>
      <x:c r="L99" s="22" t="str">
        <x:f>IF(B99="","",ROUND(K99-H99,2))</x:f>
      </x:c>
      <x:c r="M99"/>
      <x:c r="N99" t="str">
        <x:f>IF(B99="","",IF(J99&lt;&gt;"Completed","Not counted",IF(H99&lt;=0,"CHECK TIME","OK")))</x:f>
      </x:c>
    </x:row>
    <x:row r="100">
      <x:c r="A100" t="str">
        <x:f>IF(B100="","",ROW()-1)</x:f>
      </x:c>
      <x:c r="B100" s="24"/>
      <x:c r="C100" t="str">
        <x:f>IF(B100="","",TEXT(B100,"mmm-yyyy"))</x:f>
      </x:c>
      <x:c r="D100" t="str">
        <x:f>IF(B100="","",TEXT(B100,"ddd"))</x:f>
      </x:c>
      <x:c r="E100" s="32"/>
      <x:c r="F100" s="32"/>
      <x:c r="G100"/>
      <x:c r="H100" s="22" t="n">
        <x:f>IF(OR(B100="",J100&lt;&gt;"Completed"),0,IF(AND(ISNUMBER(E100),ISNUMBER(F100)),ROUND(((F100-E100)+(F100&lt;E100))*24-(N(G100)/60),2),0))</x:f>
        <x:v>0</x:v>
      </x:c>
      <x:c r="I100" s="34" t="str">
        <x:f>IF(H100=0,"",H100/24)</x:f>
      </x:c>
      <x:c r="J100"/>
      <x:c r="K100" s="22" t="str">
        <x:f>IF(B100="","",START_HERE!$B$7)</x:f>
      </x:c>
      <x:c r="L100" s="22" t="str">
        <x:f>IF(B100="","",ROUND(K100-H100,2))</x:f>
      </x:c>
      <x:c r="M100"/>
      <x:c r="N100" t="str">
        <x:f>IF(B100="","",IF(J100&lt;&gt;"Completed","Not counted",IF(H100&lt;=0,"CHECK TIME","OK")))</x:f>
      </x:c>
    </x:row>
    <x:row r="101">
      <x:c r="A101" t="str">
        <x:f>IF(B101="","",ROW()-1)</x:f>
      </x:c>
      <x:c r="B101" s="24"/>
      <x:c r="C101" t="str">
        <x:f>IF(B101="","",TEXT(B101,"mmm-yyyy"))</x:f>
      </x:c>
      <x:c r="D101" t="str">
        <x:f>IF(B101="","",TEXT(B101,"ddd"))</x:f>
      </x:c>
      <x:c r="E101" s="32"/>
      <x:c r="F101" s="32"/>
      <x:c r="G101"/>
      <x:c r="H101" s="22" t="n">
        <x:f>IF(OR(B101="",J101&lt;&gt;"Completed"),0,IF(AND(ISNUMBER(E101),ISNUMBER(F101)),ROUND(((F101-E101)+(F101&lt;E101))*24-(N(G101)/60),2),0))</x:f>
        <x:v>0</x:v>
      </x:c>
      <x:c r="I101" s="34" t="str">
        <x:f>IF(H101=0,"",H101/24)</x:f>
      </x:c>
      <x:c r="J101"/>
      <x:c r="K101" s="22" t="str">
        <x:f>IF(B101="","",START_HERE!$B$7)</x:f>
      </x:c>
      <x:c r="L101" s="22" t="str">
        <x:f>IF(B101="","",ROUND(K101-H101,2))</x:f>
      </x:c>
      <x:c r="M101"/>
      <x:c r="N101" t="str">
        <x:f>IF(B101="","",IF(J101&lt;&gt;"Completed","Not counted",IF(H101&lt;=0,"CHECK TIME","OK")))</x:f>
      </x:c>
    </x:row>
    <x:row r="102">
      <x:c r="A102" t="str">
        <x:f>IF(B102="","",ROW()-1)</x:f>
      </x:c>
      <x:c r="B102" s="24"/>
      <x:c r="C102" t="str">
        <x:f>IF(B102="","",TEXT(B102,"mmm-yyyy"))</x:f>
      </x:c>
      <x:c r="D102" t="str">
        <x:f>IF(B102="","",TEXT(B102,"ddd"))</x:f>
      </x:c>
      <x:c r="E102" s="32"/>
      <x:c r="F102" s="32"/>
      <x:c r="G102"/>
      <x:c r="H102" s="22" t="n">
        <x:f>IF(OR(B102="",J102&lt;&gt;"Completed"),0,IF(AND(ISNUMBER(E102),ISNUMBER(F102)),ROUND(((F102-E102)+(F102&lt;E102))*24-(N(G102)/60),2),0))</x:f>
        <x:v>0</x:v>
      </x:c>
      <x:c r="I102" s="34" t="str">
        <x:f>IF(H102=0,"",H102/24)</x:f>
      </x:c>
      <x:c r="J102"/>
      <x:c r="K102" s="22" t="str">
        <x:f>IF(B102="","",START_HERE!$B$7)</x:f>
      </x:c>
      <x:c r="L102" s="22" t="str">
        <x:f>IF(B102="","",ROUND(K102-H102,2))</x:f>
      </x:c>
      <x:c r="M102"/>
      <x:c r="N102" t="str">
        <x:f>IF(B102="","",IF(J102&lt;&gt;"Completed","Not counted",IF(H102&lt;=0,"CHECK TIME","OK")))</x:f>
      </x:c>
    </x:row>
    <x:row r="103">
      <x:c r="A103" t="str">
        <x:f>IF(B103="","",ROW()-1)</x:f>
      </x:c>
      <x:c r="B103" s="24"/>
      <x:c r="C103" t="str">
        <x:f>IF(B103="","",TEXT(B103,"mmm-yyyy"))</x:f>
      </x:c>
      <x:c r="D103" t="str">
        <x:f>IF(B103="","",TEXT(B103,"ddd"))</x:f>
      </x:c>
      <x:c r="E103" s="32"/>
      <x:c r="F103" s="32"/>
      <x:c r="G103"/>
      <x:c r="H103" s="22" t="n">
        <x:f>IF(OR(B103="",J103&lt;&gt;"Completed"),0,IF(AND(ISNUMBER(E103),ISNUMBER(F103)),ROUND(((F103-E103)+(F103&lt;E103))*24-(N(G103)/60),2),0))</x:f>
        <x:v>0</x:v>
      </x:c>
      <x:c r="I103" s="34" t="str">
        <x:f>IF(H103=0,"",H103/24)</x:f>
      </x:c>
      <x:c r="J103"/>
      <x:c r="K103" s="22" t="str">
        <x:f>IF(B103="","",START_HERE!$B$7)</x:f>
      </x:c>
      <x:c r="L103" s="22" t="str">
        <x:f>IF(B103="","",ROUND(K103-H103,2))</x:f>
      </x:c>
      <x:c r="M103"/>
      <x:c r="N103" t="str">
        <x:f>IF(B103="","",IF(J103&lt;&gt;"Completed","Not counted",IF(H103&lt;=0,"CHECK TIME","OK")))</x:f>
      </x:c>
    </x:row>
    <x:row r="104">
      <x:c r="A104" t="str">
        <x:f>IF(B104="","",ROW()-1)</x:f>
      </x:c>
      <x:c r="B104" s="24"/>
      <x:c r="C104" t="str">
        <x:f>IF(B104="","",TEXT(B104,"mmm-yyyy"))</x:f>
      </x:c>
      <x:c r="D104" t="str">
        <x:f>IF(B104="","",TEXT(B104,"ddd"))</x:f>
      </x:c>
      <x:c r="E104" s="32"/>
      <x:c r="F104" s="32"/>
      <x:c r="G104"/>
      <x:c r="H104" s="22" t="n">
        <x:f>IF(OR(B104="",J104&lt;&gt;"Completed"),0,IF(AND(ISNUMBER(E104),ISNUMBER(F104)),ROUND(((F104-E104)+(F104&lt;E104))*24-(N(G104)/60),2),0))</x:f>
        <x:v>0</x:v>
      </x:c>
      <x:c r="I104" s="34" t="str">
        <x:f>IF(H104=0,"",H104/24)</x:f>
      </x:c>
      <x:c r="J104"/>
      <x:c r="K104" s="22" t="str">
        <x:f>IF(B104="","",START_HERE!$B$7)</x:f>
      </x:c>
      <x:c r="L104" s="22" t="str">
        <x:f>IF(B104="","",ROUND(K104-H104,2))</x:f>
      </x:c>
      <x:c r="M104"/>
      <x:c r="N104" t="str">
        <x:f>IF(B104="","",IF(J104&lt;&gt;"Completed","Not counted",IF(H104&lt;=0,"CHECK TIME","OK")))</x:f>
      </x:c>
    </x:row>
    <x:row r="105">
      <x:c r="A105" t="str">
        <x:f>IF(B105="","",ROW()-1)</x:f>
      </x:c>
      <x:c r="B105" s="24"/>
      <x:c r="C105" t="str">
        <x:f>IF(B105="","",TEXT(B105,"mmm-yyyy"))</x:f>
      </x:c>
      <x:c r="D105" t="str">
        <x:f>IF(B105="","",TEXT(B105,"ddd"))</x:f>
      </x:c>
      <x:c r="E105" s="32"/>
      <x:c r="F105" s="32"/>
      <x:c r="G105"/>
      <x:c r="H105" s="22" t="n">
        <x:f>IF(OR(B105="",J105&lt;&gt;"Completed"),0,IF(AND(ISNUMBER(E105),ISNUMBER(F105)),ROUND(((F105-E105)+(F105&lt;E105))*24-(N(G105)/60),2),0))</x:f>
        <x:v>0</x:v>
      </x:c>
      <x:c r="I105" s="34" t="str">
        <x:f>IF(H105=0,"",H105/24)</x:f>
      </x:c>
      <x:c r="J105"/>
      <x:c r="K105" s="22" t="str">
        <x:f>IF(B105="","",START_HERE!$B$7)</x:f>
      </x:c>
      <x:c r="L105" s="22" t="str">
        <x:f>IF(B105="","",ROUND(K105-H105,2))</x:f>
      </x:c>
      <x:c r="M105"/>
      <x:c r="N105" t="str">
        <x:f>IF(B105="","",IF(J105&lt;&gt;"Completed","Not counted",IF(H105&lt;=0,"CHECK TIME","OK")))</x:f>
      </x:c>
    </x:row>
    <x:row r="106">
      <x:c r="A106" t="str">
        <x:f>IF(B106="","",ROW()-1)</x:f>
      </x:c>
      <x:c r="B106" s="24"/>
      <x:c r="C106" t="str">
        <x:f>IF(B106="","",TEXT(B106,"mmm-yyyy"))</x:f>
      </x:c>
      <x:c r="D106" t="str">
        <x:f>IF(B106="","",TEXT(B106,"ddd"))</x:f>
      </x:c>
      <x:c r="E106" s="32"/>
      <x:c r="F106" s="32"/>
      <x:c r="G106"/>
      <x:c r="H106" s="22" t="n">
        <x:f>IF(OR(B106="",J106&lt;&gt;"Completed"),0,IF(AND(ISNUMBER(E106),ISNUMBER(F106)),ROUND(((F106-E106)+(F106&lt;E106))*24-(N(G106)/60),2),0))</x:f>
        <x:v>0</x:v>
      </x:c>
      <x:c r="I106" s="34" t="str">
        <x:f>IF(H106=0,"",H106/24)</x:f>
      </x:c>
      <x:c r="J106"/>
      <x:c r="K106" s="22" t="str">
        <x:f>IF(B106="","",START_HERE!$B$7)</x:f>
      </x:c>
      <x:c r="L106" s="22" t="str">
        <x:f>IF(B106="","",ROUND(K106-H106,2))</x:f>
      </x:c>
      <x:c r="M106"/>
      <x:c r="N106" t="str">
        <x:f>IF(B106="","",IF(J106&lt;&gt;"Completed","Not counted",IF(H106&lt;=0,"CHECK TIME","OK")))</x:f>
      </x:c>
    </x:row>
    <x:row r="107">
      <x:c r="A107" t="str">
        <x:f>IF(B107="","",ROW()-1)</x:f>
      </x:c>
      <x:c r="B107" s="24"/>
      <x:c r="C107" t="str">
        <x:f>IF(B107="","",TEXT(B107,"mmm-yyyy"))</x:f>
      </x:c>
      <x:c r="D107" t="str">
        <x:f>IF(B107="","",TEXT(B107,"ddd"))</x:f>
      </x:c>
      <x:c r="E107" s="32"/>
      <x:c r="F107" s="32"/>
      <x:c r="G107"/>
      <x:c r="H107" s="22" t="n">
        <x:f>IF(OR(B107="",J107&lt;&gt;"Completed"),0,IF(AND(ISNUMBER(E107),ISNUMBER(F107)),ROUND(((F107-E107)+(F107&lt;E107))*24-(N(G107)/60),2),0))</x:f>
        <x:v>0</x:v>
      </x:c>
      <x:c r="I107" s="34" t="str">
        <x:f>IF(H107=0,"",H107/24)</x:f>
      </x:c>
      <x:c r="J107"/>
      <x:c r="K107" s="22" t="str">
        <x:f>IF(B107="","",START_HERE!$B$7)</x:f>
      </x:c>
      <x:c r="L107" s="22" t="str">
        <x:f>IF(B107="","",ROUND(K107-H107,2))</x:f>
      </x:c>
      <x:c r="M107"/>
      <x:c r="N107" t="str">
        <x:f>IF(B107="","",IF(J107&lt;&gt;"Completed","Not counted",IF(H107&lt;=0,"CHECK TIME","OK")))</x:f>
      </x:c>
    </x:row>
    <x:row r="108">
      <x:c r="A108" t="str">
        <x:f>IF(B108="","",ROW()-1)</x:f>
      </x:c>
      <x:c r="B108" s="24"/>
      <x:c r="C108" t="str">
        <x:f>IF(B108="","",TEXT(B108,"mmm-yyyy"))</x:f>
      </x:c>
      <x:c r="D108" t="str">
        <x:f>IF(B108="","",TEXT(B108,"ddd"))</x:f>
      </x:c>
      <x:c r="E108" s="32"/>
      <x:c r="F108" s="32"/>
      <x:c r="G108"/>
      <x:c r="H108" s="22" t="n">
        <x:f>IF(OR(B108="",J108&lt;&gt;"Completed"),0,IF(AND(ISNUMBER(E108),ISNUMBER(F108)),ROUND(((F108-E108)+(F108&lt;E108))*24-(N(G108)/60),2),0))</x:f>
        <x:v>0</x:v>
      </x:c>
      <x:c r="I108" s="34" t="str">
        <x:f>IF(H108=0,"",H108/24)</x:f>
      </x:c>
      <x:c r="J108"/>
      <x:c r="K108" s="22" t="str">
        <x:f>IF(B108="","",START_HERE!$B$7)</x:f>
      </x:c>
      <x:c r="L108" s="22" t="str">
        <x:f>IF(B108="","",ROUND(K108-H108,2))</x:f>
      </x:c>
      <x:c r="M108"/>
      <x:c r="N108" t="str">
        <x:f>IF(B108="","",IF(J108&lt;&gt;"Completed","Not counted",IF(H108&lt;=0,"CHECK TIME","OK")))</x:f>
      </x:c>
    </x:row>
    <x:row r="109">
      <x:c r="A109" t="str">
        <x:f>IF(B109="","",ROW()-1)</x:f>
      </x:c>
      <x:c r="B109" s="24"/>
      <x:c r="C109" t="str">
        <x:f>IF(B109="","",TEXT(B109,"mmm-yyyy"))</x:f>
      </x:c>
      <x:c r="D109" t="str">
        <x:f>IF(B109="","",TEXT(B109,"ddd"))</x:f>
      </x:c>
      <x:c r="E109" s="32"/>
      <x:c r="F109" s="32"/>
      <x:c r="G109"/>
      <x:c r="H109" s="22" t="n">
        <x:f>IF(OR(B109="",J109&lt;&gt;"Completed"),0,IF(AND(ISNUMBER(E109),ISNUMBER(F109)),ROUND(((F109-E109)+(F109&lt;E109))*24-(N(G109)/60),2),0))</x:f>
        <x:v>0</x:v>
      </x:c>
      <x:c r="I109" s="34" t="str">
        <x:f>IF(H109=0,"",H109/24)</x:f>
      </x:c>
      <x:c r="J109"/>
      <x:c r="K109" s="22" t="str">
        <x:f>IF(B109="","",START_HERE!$B$7)</x:f>
      </x:c>
      <x:c r="L109" s="22" t="str">
        <x:f>IF(B109="","",ROUND(K109-H109,2))</x:f>
      </x:c>
      <x:c r="M109"/>
      <x:c r="N109" t="str">
        <x:f>IF(B109="","",IF(J109&lt;&gt;"Completed","Not counted",IF(H109&lt;=0,"CHECK TIME","OK")))</x:f>
      </x:c>
    </x:row>
    <x:row r="110">
      <x:c r="A110" t="str">
        <x:f>IF(B110="","",ROW()-1)</x:f>
      </x:c>
      <x:c r="B110" s="24"/>
      <x:c r="C110" t="str">
        <x:f>IF(B110="","",TEXT(B110,"mmm-yyyy"))</x:f>
      </x:c>
      <x:c r="D110" t="str">
        <x:f>IF(B110="","",TEXT(B110,"ddd"))</x:f>
      </x:c>
      <x:c r="E110" s="32"/>
      <x:c r="F110" s="32"/>
      <x:c r="G110"/>
      <x:c r="H110" s="22" t="n">
        <x:f>IF(OR(B110="",J110&lt;&gt;"Completed"),0,IF(AND(ISNUMBER(E110),ISNUMBER(F110)),ROUND(((F110-E110)+(F110&lt;E110))*24-(N(G110)/60),2),0))</x:f>
        <x:v>0</x:v>
      </x:c>
      <x:c r="I110" s="34" t="str">
        <x:f>IF(H110=0,"",H110/24)</x:f>
      </x:c>
      <x:c r="J110"/>
      <x:c r="K110" s="22" t="str">
        <x:f>IF(B110="","",START_HERE!$B$7)</x:f>
      </x:c>
      <x:c r="L110" s="22" t="str">
        <x:f>IF(B110="","",ROUND(K110-H110,2))</x:f>
      </x:c>
      <x:c r="M110"/>
      <x:c r="N110" t="str">
        <x:f>IF(B110="","",IF(J110&lt;&gt;"Completed","Not counted",IF(H110&lt;=0,"CHECK TIME","OK")))</x:f>
      </x:c>
    </x:row>
    <x:row r="111">
      <x:c r="A111" t="str">
        <x:f>IF(B111="","",ROW()-1)</x:f>
      </x:c>
      <x:c r="B111" s="24"/>
      <x:c r="C111" t="str">
        <x:f>IF(B111="","",TEXT(B111,"mmm-yyyy"))</x:f>
      </x:c>
      <x:c r="D111" t="str">
        <x:f>IF(B111="","",TEXT(B111,"ddd"))</x:f>
      </x:c>
      <x:c r="E111" s="32"/>
      <x:c r="F111" s="32"/>
      <x:c r="G111"/>
      <x:c r="H111" s="22" t="n">
        <x:f>IF(OR(B111="",J111&lt;&gt;"Completed"),0,IF(AND(ISNUMBER(E111),ISNUMBER(F111)),ROUND(((F111-E111)+(F111&lt;E111))*24-(N(G111)/60),2),0))</x:f>
        <x:v>0</x:v>
      </x:c>
      <x:c r="I111" s="34" t="str">
        <x:f>IF(H111=0,"",H111/24)</x:f>
      </x:c>
      <x:c r="J111"/>
      <x:c r="K111" s="22" t="str">
        <x:f>IF(B111="","",START_HERE!$B$7)</x:f>
      </x:c>
      <x:c r="L111" s="22" t="str">
        <x:f>IF(B111="","",ROUND(K111-H111,2))</x:f>
      </x:c>
      <x:c r="M111"/>
      <x:c r="N111" t="str">
        <x:f>IF(B111="","",IF(J111&lt;&gt;"Completed","Not counted",IF(H111&lt;=0,"CHECK TIME","OK")))</x:f>
      </x:c>
    </x:row>
    <x:row r="112">
      <x:c r="A112" t="str">
        <x:f>IF(B112="","",ROW()-1)</x:f>
      </x:c>
      <x:c r="B112" s="24"/>
      <x:c r="C112" t="str">
        <x:f>IF(B112="","",TEXT(B112,"mmm-yyyy"))</x:f>
      </x:c>
      <x:c r="D112" t="str">
        <x:f>IF(B112="","",TEXT(B112,"ddd"))</x:f>
      </x:c>
      <x:c r="E112" s="32"/>
      <x:c r="F112" s="32"/>
      <x:c r="G112"/>
      <x:c r="H112" s="22" t="n">
        <x:f>IF(OR(B112="",J112&lt;&gt;"Completed"),0,IF(AND(ISNUMBER(E112),ISNUMBER(F112)),ROUND(((F112-E112)+(F112&lt;E112))*24-(N(G112)/60),2),0))</x:f>
        <x:v>0</x:v>
      </x:c>
      <x:c r="I112" s="34" t="str">
        <x:f>IF(H112=0,"",H112/24)</x:f>
      </x:c>
      <x:c r="J112"/>
      <x:c r="K112" s="22" t="str">
        <x:f>IF(B112="","",START_HERE!$B$7)</x:f>
      </x:c>
      <x:c r="L112" s="22" t="str">
        <x:f>IF(B112="","",ROUND(K112-H112,2))</x:f>
      </x:c>
      <x:c r="M112"/>
      <x:c r="N112" t="str">
        <x:f>IF(B112="","",IF(J112&lt;&gt;"Completed","Not counted",IF(H112&lt;=0,"CHECK TIME","OK")))</x:f>
      </x:c>
    </x:row>
    <x:row r="113">
      <x:c r="A113" t="str">
        <x:f>IF(B113="","",ROW()-1)</x:f>
      </x:c>
      <x:c r="B113" s="24"/>
      <x:c r="C113" t="str">
        <x:f>IF(B113="","",TEXT(B113,"mmm-yyyy"))</x:f>
      </x:c>
      <x:c r="D113" t="str">
        <x:f>IF(B113="","",TEXT(B113,"ddd"))</x:f>
      </x:c>
      <x:c r="E113" s="32"/>
      <x:c r="F113" s="32"/>
      <x:c r="G113"/>
      <x:c r="H113" s="22" t="n">
        <x:f>IF(OR(B113="",J113&lt;&gt;"Completed"),0,IF(AND(ISNUMBER(E113),ISNUMBER(F113)),ROUND(((F113-E113)+(F113&lt;E113))*24-(N(G113)/60),2),0))</x:f>
        <x:v>0</x:v>
      </x:c>
      <x:c r="I113" s="34" t="str">
        <x:f>IF(H113=0,"",H113/24)</x:f>
      </x:c>
      <x:c r="J113"/>
      <x:c r="K113" s="22" t="str">
        <x:f>IF(B113="","",START_HERE!$B$7)</x:f>
      </x:c>
      <x:c r="L113" s="22" t="str">
        <x:f>IF(B113="","",ROUND(K113-H113,2))</x:f>
      </x:c>
      <x:c r="M113"/>
      <x:c r="N113" t="str">
        <x:f>IF(B113="","",IF(J113&lt;&gt;"Completed","Not counted",IF(H113&lt;=0,"CHECK TIME","OK")))</x:f>
      </x:c>
    </x:row>
    <x:row r="114">
      <x:c r="A114" t="str">
        <x:f>IF(B114="","",ROW()-1)</x:f>
      </x:c>
      <x:c r="B114" s="24"/>
      <x:c r="C114" t="str">
        <x:f>IF(B114="","",TEXT(B114,"mmm-yyyy"))</x:f>
      </x:c>
      <x:c r="D114" t="str">
        <x:f>IF(B114="","",TEXT(B114,"ddd"))</x:f>
      </x:c>
      <x:c r="E114" s="32"/>
      <x:c r="F114" s="32"/>
      <x:c r="G114"/>
      <x:c r="H114" s="22" t="n">
        <x:f>IF(OR(B114="",J114&lt;&gt;"Completed"),0,IF(AND(ISNUMBER(E114),ISNUMBER(F114)),ROUND(((F114-E114)+(F114&lt;E114))*24-(N(G114)/60),2),0))</x:f>
        <x:v>0</x:v>
      </x:c>
      <x:c r="I114" s="34" t="str">
        <x:f>IF(H114=0,"",H114/24)</x:f>
      </x:c>
      <x:c r="J114"/>
      <x:c r="K114" s="22" t="str">
        <x:f>IF(B114="","",START_HERE!$B$7)</x:f>
      </x:c>
      <x:c r="L114" s="22" t="str">
        <x:f>IF(B114="","",ROUND(K114-H114,2))</x:f>
      </x:c>
      <x:c r="M114"/>
      <x:c r="N114" t="str">
        <x:f>IF(B114="","",IF(J114&lt;&gt;"Completed","Not counted",IF(H114&lt;=0,"CHECK TIME","OK")))</x:f>
      </x:c>
    </x:row>
    <x:row r="115">
      <x:c r="A115" t="str">
        <x:f>IF(B115="","",ROW()-1)</x:f>
      </x:c>
      <x:c r="B115" s="24"/>
      <x:c r="C115" t="str">
        <x:f>IF(B115="","",TEXT(B115,"mmm-yyyy"))</x:f>
      </x:c>
      <x:c r="D115" t="str">
        <x:f>IF(B115="","",TEXT(B115,"ddd"))</x:f>
      </x:c>
      <x:c r="E115" s="32"/>
      <x:c r="F115" s="32"/>
      <x:c r="G115"/>
      <x:c r="H115" s="22" t="n">
        <x:f>IF(OR(B115="",J115&lt;&gt;"Completed"),0,IF(AND(ISNUMBER(E115),ISNUMBER(F115)),ROUND(((F115-E115)+(F115&lt;E115))*24-(N(G115)/60),2),0))</x:f>
        <x:v>0</x:v>
      </x:c>
      <x:c r="I115" s="34" t="str">
        <x:f>IF(H115=0,"",H115/24)</x:f>
      </x:c>
      <x:c r="J115"/>
      <x:c r="K115" s="22" t="str">
        <x:f>IF(B115="","",START_HERE!$B$7)</x:f>
      </x:c>
      <x:c r="L115" s="22" t="str">
        <x:f>IF(B115="","",ROUND(K115-H115,2))</x:f>
      </x:c>
      <x:c r="M115"/>
      <x:c r="N115" t="str">
        <x:f>IF(B115="","",IF(J115&lt;&gt;"Completed","Not counted",IF(H115&lt;=0,"CHECK TIME","OK")))</x:f>
      </x:c>
    </x:row>
    <x:row r="116">
      <x:c r="A116" t="str">
        <x:f>IF(B116="","",ROW()-1)</x:f>
      </x:c>
      <x:c r="B116" s="24"/>
      <x:c r="C116" t="str">
        <x:f>IF(B116="","",TEXT(B116,"mmm-yyyy"))</x:f>
      </x:c>
      <x:c r="D116" t="str">
        <x:f>IF(B116="","",TEXT(B116,"ddd"))</x:f>
      </x:c>
      <x:c r="E116" s="32"/>
      <x:c r="F116" s="32"/>
      <x:c r="G116"/>
      <x:c r="H116" s="22" t="n">
        <x:f>IF(OR(B116="",J116&lt;&gt;"Completed"),0,IF(AND(ISNUMBER(E116),ISNUMBER(F116)),ROUND(((F116-E116)+(F116&lt;E116))*24-(N(G116)/60),2),0))</x:f>
        <x:v>0</x:v>
      </x:c>
      <x:c r="I116" s="34" t="str">
        <x:f>IF(H116=0,"",H116/24)</x:f>
      </x:c>
      <x:c r="J116"/>
      <x:c r="K116" s="22" t="str">
        <x:f>IF(B116="","",START_HERE!$B$7)</x:f>
      </x:c>
      <x:c r="L116" s="22" t="str">
        <x:f>IF(B116="","",ROUND(K116-H116,2))</x:f>
      </x:c>
      <x:c r="M116"/>
      <x:c r="N116" t="str">
        <x:f>IF(B116="","",IF(J116&lt;&gt;"Completed","Not counted",IF(H116&lt;=0,"CHECK TIME","OK")))</x:f>
      </x:c>
    </x:row>
    <x:row r="117">
      <x:c r="A117" t="str">
        <x:f>IF(B117="","",ROW()-1)</x:f>
      </x:c>
      <x:c r="B117" s="24"/>
      <x:c r="C117" t="str">
        <x:f>IF(B117="","",TEXT(B117,"mmm-yyyy"))</x:f>
      </x:c>
      <x:c r="D117" t="str">
        <x:f>IF(B117="","",TEXT(B117,"ddd"))</x:f>
      </x:c>
      <x:c r="E117" s="32"/>
      <x:c r="F117" s="32"/>
      <x:c r="G117"/>
      <x:c r="H117" s="22" t="n">
        <x:f>IF(OR(B117="",J117&lt;&gt;"Completed"),0,IF(AND(ISNUMBER(E117),ISNUMBER(F117)),ROUND(((F117-E117)+(F117&lt;E117))*24-(N(G117)/60),2),0))</x:f>
        <x:v>0</x:v>
      </x:c>
      <x:c r="I117" s="34" t="str">
        <x:f>IF(H117=0,"",H117/24)</x:f>
      </x:c>
      <x:c r="J117"/>
      <x:c r="K117" s="22" t="str">
        <x:f>IF(B117="","",START_HERE!$B$7)</x:f>
      </x:c>
      <x:c r="L117" s="22" t="str">
        <x:f>IF(B117="","",ROUND(K117-H117,2))</x:f>
      </x:c>
      <x:c r="M117"/>
      <x:c r="N117" t="str">
        <x:f>IF(B117="","",IF(J117&lt;&gt;"Completed","Not counted",IF(H117&lt;=0,"CHECK TIME","OK")))</x:f>
      </x:c>
    </x:row>
    <x:row r="118">
      <x:c r="A118" t="str">
        <x:f>IF(B118="","",ROW()-1)</x:f>
      </x:c>
      <x:c r="B118" s="24"/>
      <x:c r="C118" t="str">
        <x:f>IF(B118="","",TEXT(B118,"mmm-yyyy"))</x:f>
      </x:c>
      <x:c r="D118" t="str">
        <x:f>IF(B118="","",TEXT(B118,"ddd"))</x:f>
      </x:c>
      <x:c r="E118" s="32"/>
      <x:c r="F118" s="32"/>
      <x:c r="G118"/>
      <x:c r="H118" s="22" t="n">
        <x:f>IF(OR(B118="",J118&lt;&gt;"Completed"),0,IF(AND(ISNUMBER(E118),ISNUMBER(F118)),ROUND(((F118-E118)+(F118&lt;E118))*24-(N(G118)/60),2),0))</x:f>
        <x:v>0</x:v>
      </x:c>
      <x:c r="I118" s="34" t="str">
        <x:f>IF(H118=0,"",H118/24)</x:f>
      </x:c>
      <x:c r="J118"/>
      <x:c r="K118" s="22" t="str">
        <x:f>IF(B118="","",START_HERE!$B$7)</x:f>
      </x:c>
      <x:c r="L118" s="22" t="str">
        <x:f>IF(B118="","",ROUND(K118-H118,2))</x:f>
      </x:c>
      <x:c r="M118"/>
      <x:c r="N118" t="str">
        <x:f>IF(B118="","",IF(J118&lt;&gt;"Completed","Not counted",IF(H118&lt;=0,"CHECK TIME","OK")))</x:f>
      </x:c>
    </x:row>
    <x:row r="119">
      <x:c r="A119" t="str">
        <x:f>IF(B119="","",ROW()-1)</x:f>
      </x:c>
      <x:c r="B119" s="24"/>
      <x:c r="C119" t="str">
        <x:f>IF(B119="","",TEXT(B119,"mmm-yyyy"))</x:f>
      </x:c>
      <x:c r="D119" t="str">
        <x:f>IF(B119="","",TEXT(B119,"ddd"))</x:f>
      </x:c>
      <x:c r="E119" s="32"/>
      <x:c r="F119" s="32"/>
      <x:c r="G119"/>
      <x:c r="H119" s="22" t="n">
        <x:f>IF(OR(B119="",J119&lt;&gt;"Completed"),0,IF(AND(ISNUMBER(E119),ISNUMBER(F119)),ROUND(((F119-E119)+(F119&lt;E119))*24-(N(G119)/60),2),0))</x:f>
        <x:v>0</x:v>
      </x:c>
      <x:c r="I119" s="34" t="str">
        <x:f>IF(H119=0,"",H119/24)</x:f>
      </x:c>
      <x:c r="J119"/>
      <x:c r="K119" s="22" t="str">
        <x:f>IF(B119="","",START_HERE!$B$7)</x:f>
      </x:c>
      <x:c r="L119" s="22" t="str">
        <x:f>IF(B119="","",ROUND(K119-H119,2))</x:f>
      </x:c>
      <x:c r="M119"/>
      <x:c r="N119" t="str">
        <x:f>IF(B119="","",IF(J119&lt;&gt;"Completed","Not counted",IF(H119&lt;=0,"CHECK TIME","OK")))</x:f>
      </x:c>
    </x:row>
    <x:row r="120">
      <x:c r="A120" t="str">
        <x:f>IF(B120="","",ROW()-1)</x:f>
      </x:c>
      <x:c r="B120" s="24"/>
      <x:c r="C120" t="str">
        <x:f>IF(B120="","",TEXT(B120,"mmm-yyyy"))</x:f>
      </x:c>
      <x:c r="D120" t="str">
        <x:f>IF(B120="","",TEXT(B120,"ddd"))</x:f>
      </x:c>
      <x:c r="E120" s="32"/>
      <x:c r="F120" s="32"/>
      <x:c r="G120"/>
      <x:c r="H120" s="22" t="n">
        <x:f>IF(OR(B120="",J120&lt;&gt;"Completed"),0,IF(AND(ISNUMBER(E120),ISNUMBER(F120)),ROUND(((F120-E120)+(F120&lt;E120))*24-(N(G120)/60),2),0))</x:f>
        <x:v>0</x:v>
      </x:c>
      <x:c r="I120" s="34" t="str">
        <x:f>IF(H120=0,"",H120/24)</x:f>
      </x:c>
      <x:c r="J120"/>
      <x:c r="K120" s="22" t="str">
        <x:f>IF(B120="","",START_HERE!$B$7)</x:f>
      </x:c>
      <x:c r="L120" s="22" t="str">
        <x:f>IF(B120="","",ROUND(K120-H120,2))</x:f>
      </x:c>
      <x:c r="M120"/>
      <x:c r="N120" t="str">
        <x:f>IF(B120="","",IF(J120&lt;&gt;"Completed","Not counted",IF(H120&lt;=0,"CHECK TIME","OK")))</x:f>
      </x:c>
    </x:row>
    <x:row r="121">
      <x:c r="A121" t="str">
        <x:f>IF(B121="","",ROW()-1)</x:f>
      </x:c>
      <x:c r="B121" s="24"/>
      <x:c r="C121" t="str">
        <x:f>IF(B121="","",TEXT(B121,"mmm-yyyy"))</x:f>
      </x:c>
      <x:c r="D121" t="str">
        <x:f>IF(B121="","",TEXT(B121,"ddd"))</x:f>
      </x:c>
      <x:c r="E121" s="32"/>
      <x:c r="F121" s="32"/>
      <x:c r="G121"/>
      <x:c r="H121" s="22" t="n">
        <x:f>IF(OR(B121="",J121&lt;&gt;"Completed"),0,IF(AND(ISNUMBER(E121),ISNUMBER(F121)),ROUND(((F121-E121)+(F121&lt;E121))*24-(N(G121)/60),2),0))</x:f>
        <x:v>0</x:v>
      </x:c>
      <x:c r="I121" s="34" t="str">
        <x:f>IF(H121=0,"",H121/24)</x:f>
      </x:c>
      <x:c r="J121"/>
      <x:c r="K121" s="22" t="str">
        <x:f>IF(B121="","",START_HERE!$B$7)</x:f>
      </x:c>
      <x:c r="L121" s="22" t="str">
        <x:f>IF(B121="","",ROUND(K121-H121,2))</x:f>
      </x:c>
      <x:c r="M121"/>
      <x:c r="N121" t="str">
        <x:f>IF(B121="","",IF(J121&lt;&gt;"Completed","Not counted",IF(H121&lt;=0,"CHECK TIME","OK")))</x:f>
      </x:c>
    </x:row>
    <x:row r="122">
      <x:c r="A122" t="str">
        <x:f>IF(B122="","",ROW()-1)</x:f>
      </x:c>
      <x:c r="B122" s="24"/>
      <x:c r="C122" t="str">
        <x:f>IF(B122="","",TEXT(B122,"mmm-yyyy"))</x:f>
      </x:c>
      <x:c r="D122" t="str">
        <x:f>IF(B122="","",TEXT(B122,"ddd"))</x:f>
      </x:c>
      <x:c r="E122" s="32"/>
      <x:c r="F122" s="32"/>
      <x:c r="G122"/>
      <x:c r="H122" s="22" t="n">
        <x:f>IF(OR(B122="",J122&lt;&gt;"Completed"),0,IF(AND(ISNUMBER(E122),ISNUMBER(F122)),ROUND(((F122-E122)+(F122&lt;E122))*24-(N(G122)/60),2),0))</x:f>
        <x:v>0</x:v>
      </x:c>
      <x:c r="I122" s="34" t="str">
        <x:f>IF(H122=0,"",H122/24)</x:f>
      </x:c>
      <x:c r="J122"/>
      <x:c r="K122" s="22" t="str">
        <x:f>IF(B122="","",START_HERE!$B$7)</x:f>
      </x:c>
      <x:c r="L122" s="22" t="str">
        <x:f>IF(B122="","",ROUND(K122-H122,2))</x:f>
      </x:c>
      <x:c r="M122"/>
      <x:c r="N122" t="str">
        <x:f>IF(B122="","",IF(J122&lt;&gt;"Completed","Not counted",IF(H122&lt;=0,"CHECK TIME","OK")))</x:f>
      </x:c>
    </x:row>
    <x:row r="123">
      <x:c r="A123" t="str">
        <x:f>IF(B123="","",ROW()-1)</x:f>
      </x:c>
      <x:c r="B123" s="24"/>
      <x:c r="C123" t="str">
        <x:f>IF(B123="","",TEXT(B123,"mmm-yyyy"))</x:f>
      </x:c>
      <x:c r="D123" t="str">
        <x:f>IF(B123="","",TEXT(B123,"ddd"))</x:f>
      </x:c>
      <x:c r="E123" s="32"/>
      <x:c r="F123" s="32"/>
      <x:c r="G123"/>
      <x:c r="H123" s="22" t="n">
        <x:f>IF(OR(B123="",J123&lt;&gt;"Completed"),0,IF(AND(ISNUMBER(E123),ISNUMBER(F123)),ROUND(((F123-E123)+(F123&lt;E123))*24-(N(G123)/60),2),0))</x:f>
        <x:v>0</x:v>
      </x:c>
      <x:c r="I123" s="34" t="str">
        <x:f>IF(H123=0,"",H123/24)</x:f>
      </x:c>
      <x:c r="J123"/>
      <x:c r="K123" s="22" t="str">
        <x:f>IF(B123="","",START_HERE!$B$7)</x:f>
      </x:c>
      <x:c r="L123" s="22" t="str">
        <x:f>IF(B123="","",ROUND(K123-H123,2))</x:f>
      </x:c>
      <x:c r="M123"/>
      <x:c r="N123" t="str">
        <x:f>IF(B123="","",IF(J123&lt;&gt;"Completed","Not counted",IF(H123&lt;=0,"CHECK TIME","OK")))</x:f>
      </x:c>
    </x:row>
    <x:row r="124">
      <x:c r="A124" t="str">
        <x:f>IF(B124="","",ROW()-1)</x:f>
      </x:c>
      <x:c r="B124" s="24"/>
      <x:c r="C124" t="str">
        <x:f>IF(B124="","",TEXT(B124,"mmm-yyyy"))</x:f>
      </x:c>
      <x:c r="D124" t="str">
        <x:f>IF(B124="","",TEXT(B124,"ddd"))</x:f>
      </x:c>
      <x:c r="E124" s="32"/>
      <x:c r="F124" s="32"/>
      <x:c r="G124"/>
      <x:c r="H124" s="22" t="n">
        <x:f>IF(OR(B124="",J124&lt;&gt;"Completed"),0,IF(AND(ISNUMBER(E124),ISNUMBER(F124)),ROUND(((F124-E124)+(F124&lt;E124))*24-(N(G124)/60),2),0))</x:f>
        <x:v>0</x:v>
      </x:c>
      <x:c r="I124" s="34" t="str">
        <x:f>IF(H124=0,"",H124/24)</x:f>
      </x:c>
      <x:c r="J124"/>
      <x:c r="K124" s="22" t="str">
        <x:f>IF(B124="","",START_HERE!$B$7)</x:f>
      </x:c>
      <x:c r="L124" s="22" t="str">
        <x:f>IF(B124="","",ROUND(K124-H124,2))</x:f>
      </x:c>
      <x:c r="M124"/>
      <x:c r="N124" t="str">
        <x:f>IF(B124="","",IF(J124&lt;&gt;"Completed","Not counted",IF(H124&lt;=0,"CHECK TIME","OK")))</x:f>
      </x:c>
    </x:row>
    <x:row r="125">
      <x:c r="A125" t="str">
        <x:f>IF(B125="","",ROW()-1)</x:f>
      </x:c>
      <x:c r="B125" s="24"/>
      <x:c r="C125" t="str">
        <x:f>IF(B125="","",TEXT(B125,"mmm-yyyy"))</x:f>
      </x:c>
      <x:c r="D125" t="str">
        <x:f>IF(B125="","",TEXT(B125,"ddd"))</x:f>
      </x:c>
      <x:c r="E125" s="32"/>
      <x:c r="F125" s="32"/>
      <x:c r="G125"/>
      <x:c r="H125" s="22" t="n">
        <x:f>IF(OR(B125="",J125&lt;&gt;"Completed"),0,IF(AND(ISNUMBER(E125),ISNUMBER(F125)),ROUND(((F125-E125)+(F125&lt;E125))*24-(N(G125)/60),2),0))</x:f>
        <x:v>0</x:v>
      </x:c>
      <x:c r="I125" s="34" t="str">
        <x:f>IF(H125=0,"",H125/24)</x:f>
      </x:c>
      <x:c r="J125"/>
      <x:c r="K125" s="22" t="str">
        <x:f>IF(B125="","",START_HERE!$B$7)</x:f>
      </x:c>
      <x:c r="L125" s="22" t="str">
        <x:f>IF(B125="","",ROUND(K125-H125,2))</x:f>
      </x:c>
      <x:c r="M125"/>
      <x:c r="N125" t="str">
        <x:f>IF(B125="","",IF(J125&lt;&gt;"Completed","Not counted",IF(H125&lt;=0,"CHECK TIME","OK")))</x:f>
      </x:c>
    </x:row>
    <x:row r="126">
      <x:c r="A126" t="str">
        <x:f>IF(B126="","",ROW()-1)</x:f>
      </x:c>
      <x:c r="B126" s="24"/>
      <x:c r="C126" t="str">
        <x:f>IF(B126="","",TEXT(B126,"mmm-yyyy"))</x:f>
      </x:c>
      <x:c r="D126" t="str">
        <x:f>IF(B126="","",TEXT(B126,"ddd"))</x:f>
      </x:c>
      <x:c r="E126" s="32"/>
      <x:c r="F126" s="32"/>
      <x:c r="G126"/>
      <x:c r="H126" s="22" t="n">
        <x:f>IF(OR(B126="",J126&lt;&gt;"Completed"),0,IF(AND(ISNUMBER(E126),ISNUMBER(F126)),ROUND(((F126-E126)+(F126&lt;E126))*24-(N(G126)/60),2),0))</x:f>
        <x:v>0</x:v>
      </x:c>
      <x:c r="I126" s="34" t="str">
        <x:f>IF(H126=0,"",H126/24)</x:f>
      </x:c>
      <x:c r="J126"/>
      <x:c r="K126" s="22" t="str">
        <x:f>IF(B126="","",START_HERE!$B$7)</x:f>
      </x:c>
      <x:c r="L126" s="22" t="str">
        <x:f>IF(B126="","",ROUND(K126-H126,2))</x:f>
      </x:c>
      <x:c r="M126"/>
      <x:c r="N126" t="str">
        <x:f>IF(B126="","",IF(J126&lt;&gt;"Completed","Not counted",IF(H126&lt;=0,"CHECK TIME","OK")))</x:f>
      </x:c>
    </x:row>
    <x:row r="127">
      <x:c r="A127" t="str">
        <x:f>IF(B127="","",ROW()-1)</x:f>
      </x:c>
      <x:c r="B127" s="24"/>
      <x:c r="C127" t="str">
        <x:f>IF(B127="","",TEXT(B127,"mmm-yyyy"))</x:f>
      </x:c>
      <x:c r="D127" t="str">
        <x:f>IF(B127="","",TEXT(B127,"ddd"))</x:f>
      </x:c>
      <x:c r="E127" s="32"/>
      <x:c r="F127" s="32"/>
      <x:c r="G127"/>
      <x:c r="H127" s="22" t="n">
        <x:f>IF(OR(B127="",J127&lt;&gt;"Completed"),0,IF(AND(ISNUMBER(E127),ISNUMBER(F127)),ROUND(((F127-E127)+(F127&lt;E127))*24-(N(G127)/60),2),0))</x:f>
        <x:v>0</x:v>
      </x:c>
      <x:c r="I127" s="34" t="str">
        <x:f>IF(H127=0,"",H127/24)</x:f>
      </x:c>
      <x:c r="J127"/>
      <x:c r="K127" s="22" t="str">
        <x:f>IF(B127="","",START_HERE!$B$7)</x:f>
      </x:c>
      <x:c r="L127" s="22" t="str">
        <x:f>IF(B127="","",ROUND(K127-H127,2))</x:f>
      </x:c>
      <x:c r="M127"/>
      <x:c r="N127" t="str">
        <x:f>IF(B127="","",IF(J127&lt;&gt;"Completed","Not counted",IF(H127&lt;=0,"CHECK TIME","OK")))</x:f>
      </x:c>
    </x:row>
    <x:row r="128">
      <x:c r="A128" t="str">
        <x:f>IF(B128="","",ROW()-1)</x:f>
      </x:c>
      <x:c r="B128" s="24"/>
      <x:c r="C128" t="str">
        <x:f>IF(B128="","",TEXT(B128,"mmm-yyyy"))</x:f>
      </x:c>
      <x:c r="D128" t="str">
        <x:f>IF(B128="","",TEXT(B128,"ddd"))</x:f>
      </x:c>
      <x:c r="E128" s="32"/>
      <x:c r="F128" s="32"/>
      <x:c r="G128"/>
      <x:c r="H128" s="22" t="n">
        <x:f>IF(OR(B128="",J128&lt;&gt;"Completed"),0,IF(AND(ISNUMBER(E128),ISNUMBER(F128)),ROUND(((F128-E128)+(F128&lt;E128))*24-(N(G128)/60),2),0))</x:f>
        <x:v>0</x:v>
      </x:c>
      <x:c r="I128" s="34" t="str">
        <x:f>IF(H128=0,"",H128/24)</x:f>
      </x:c>
      <x:c r="J128"/>
      <x:c r="K128" s="22" t="str">
        <x:f>IF(B128="","",START_HERE!$B$7)</x:f>
      </x:c>
      <x:c r="L128" s="22" t="str">
        <x:f>IF(B128="","",ROUND(K128-H128,2))</x:f>
      </x:c>
      <x:c r="M128"/>
      <x:c r="N128" t="str">
        <x:f>IF(B128="","",IF(J128&lt;&gt;"Completed","Not counted",IF(H128&lt;=0,"CHECK TIME","OK")))</x:f>
      </x:c>
    </x:row>
    <x:row r="129">
      <x:c r="A129" t="str">
        <x:f>IF(B129="","",ROW()-1)</x:f>
      </x:c>
      <x:c r="B129" s="24"/>
      <x:c r="C129" t="str">
        <x:f>IF(B129="","",TEXT(B129,"mmm-yyyy"))</x:f>
      </x:c>
      <x:c r="D129" t="str">
        <x:f>IF(B129="","",TEXT(B129,"ddd"))</x:f>
      </x:c>
      <x:c r="E129" s="32"/>
      <x:c r="F129" s="32"/>
      <x:c r="G129"/>
      <x:c r="H129" s="22" t="n">
        <x:f>IF(OR(B129="",J129&lt;&gt;"Completed"),0,IF(AND(ISNUMBER(E129),ISNUMBER(F129)),ROUND(((F129-E129)+(F129&lt;E129))*24-(N(G129)/60),2),0))</x:f>
        <x:v>0</x:v>
      </x:c>
      <x:c r="I129" s="34" t="str">
        <x:f>IF(H129=0,"",H129/24)</x:f>
      </x:c>
      <x:c r="J129"/>
      <x:c r="K129" s="22" t="str">
        <x:f>IF(B129="","",START_HERE!$B$7)</x:f>
      </x:c>
      <x:c r="L129" s="22" t="str">
        <x:f>IF(B129="","",ROUND(K129-H129,2))</x:f>
      </x:c>
      <x:c r="M129"/>
      <x:c r="N129" t="str">
        <x:f>IF(B129="","",IF(J129&lt;&gt;"Completed","Not counted",IF(H129&lt;=0,"CHECK TIME","OK")))</x:f>
      </x:c>
    </x:row>
    <x:row r="130">
      <x:c r="A130" t="str">
        <x:f>IF(B130="","",ROW()-1)</x:f>
      </x:c>
      <x:c r="B130" s="24"/>
      <x:c r="C130" t="str">
        <x:f>IF(B130="","",TEXT(B130,"mmm-yyyy"))</x:f>
      </x:c>
      <x:c r="D130" t="str">
        <x:f>IF(B130="","",TEXT(B130,"ddd"))</x:f>
      </x:c>
      <x:c r="E130" s="32"/>
      <x:c r="F130" s="32"/>
      <x:c r="G130"/>
      <x:c r="H130" s="22" t="n">
        <x:f>IF(OR(B130="",J130&lt;&gt;"Completed"),0,IF(AND(ISNUMBER(E130),ISNUMBER(F130)),ROUND(((F130-E130)+(F130&lt;E130))*24-(N(G130)/60),2),0))</x:f>
        <x:v>0</x:v>
      </x:c>
      <x:c r="I130" s="34" t="str">
        <x:f>IF(H130=0,"",H130/24)</x:f>
      </x:c>
      <x:c r="J130"/>
      <x:c r="K130" s="22" t="str">
        <x:f>IF(B130="","",START_HERE!$B$7)</x:f>
      </x:c>
      <x:c r="L130" s="22" t="str">
        <x:f>IF(B130="","",ROUND(K130-H130,2))</x:f>
      </x:c>
      <x:c r="M130"/>
      <x:c r="N130" t="str">
        <x:f>IF(B130="","",IF(J130&lt;&gt;"Completed","Not counted",IF(H130&lt;=0,"CHECK TIME","OK")))</x:f>
      </x:c>
    </x:row>
    <x:row r="131">
      <x:c r="A131" t="str">
        <x:f>IF(B131="","",ROW()-1)</x:f>
      </x:c>
      <x:c r="B131" s="24"/>
      <x:c r="C131" t="str">
        <x:f>IF(B131="","",TEXT(B131,"mmm-yyyy"))</x:f>
      </x:c>
      <x:c r="D131" t="str">
        <x:f>IF(B131="","",TEXT(B131,"ddd"))</x:f>
      </x:c>
      <x:c r="E131" s="32"/>
      <x:c r="F131" s="32"/>
      <x:c r="G131"/>
      <x:c r="H131" s="22" t="n">
        <x:f>IF(OR(B131="",J131&lt;&gt;"Completed"),0,IF(AND(ISNUMBER(E131),ISNUMBER(F131)),ROUND(((F131-E131)+(F131&lt;E131))*24-(N(G131)/60),2),0))</x:f>
        <x:v>0</x:v>
      </x:c>
      <x:c r="I131" s="34" t="str">
        <x:f>IF(H131=0,"",H131/24)</x:f>
      </x:c>
      <x:c r="J131"/>
      <x:c r="K131" s="22" t="str">
        <x:f>IF(B131="","",START_HERE!$B$7)</x:f>
      </x:c>
      <x:c r="L131" s="22" t="str">
        <x:f>IF(B131="","",ROUND(K131-H131,2))</x:f>
      </x:c>
      <x:c r="M131"/>
      <x:c r="N131" t="str">
        <x:f>IF(B131="","",IF(J131&lt;&gt;"Completed","Not counted",IF(H131&lt;=0,"CHECK TIME","OK")))</x:f>
      </x:c>
    </x:row>
    <x:row r="132">
      <x:c r="A132" t="str">
        <x:f>IF(B132="","",ROW()-1)</x:f>
      </x:c>
      <x:c r="B132" s="24"/>
      <x:c r="C132" t="str">
        <x:f>IF(B132="","",TEXT(B132,"mmm-yyyy"))</x:f>
      </x:c>
      <x:c r="D132" t="str">
        <x:f>IF(B132="","",TEXT(B132,"ddd"))</x:f>
      </x:c>
      <x:c r="E132" s="32"/>
      <x:c r="F132" s="32"/>
      <x:c r="G132"/>
      <x:c r="H132" s="22" t="n">
        <x:f>IF(OR(B132="",J132&lt;&gt;"Completed"),0,IF(AND(ISNUMBER(E132),ISNUMBER(F132)),ROUND(((F132-E132)+(F132&lt;E132))*24-(N(G132)/60),2),0))</x:f>
        <x:v>0</x:v>
      </x:c>
      <x:c r="I132" s="34" t="str">
        <x:f>IF(H132=0,"",H132/24)</x:f>
      </x:c>
      <x:c r="J132"/>
      <x:c r="K132" s="22" t="str">
        <x:f>IF(B132="","",START_HERE!$B$7)</x:f>
      </x:c>
      <x:c r="L132" s="22" t="str">
        <x:f>IF(B132="","",ROUND(K132-H132,2))</x:f>
      </x:c>
      <x:c r="M132"/>
      <x:c r="N132" t="str">
        <x:f>IF(B132="","",IF(J132&lt;&gt;"Completed","Not counted",IF(H132&lt;=0,"CHECK TIME","OK")))</x:f>
      </x:c>
    </x:row>
    <x:row r="133">
      <x:c r="A133" t="str">
        <x:f>IF(B133="","",ROW()-1)</x:f>
      </x:c>
      <x:c r="B133" s="24"/>
      <x:c r="C133" t="str">
        <x:f>IF(B133="","",TEXT(B133,"mmm-yyyy"))</x:f>
      </x:c>
      <x:c r="D133" t="str">
        <x:f>IF(B133="","",TEXT(B133,"ddd"))</x:f>
      </x:c>
      <x:c r="E133" s="32"/>
      <x:c r="F133" s="32"/>
      <x:c r="G133"/>
      <x:c r="H133" s="22" t="n">
        <x:f>IF(OR(B133="",J133&lt;&gt;"Completed"),0,IF(AND(ISNUMBER(E133),ISNUMBER(F133)),ROUND(((F133-E133)+(F133&lt;E133))*24-(N(G133)/60),2),0))</x:f>
        <x:v>0</x:v>
      </x:c>
      <x:c r="I133" s="34" t="str">
        <x:f>IF(H133=0,"",H133/24)</x:f>
      </x:c>
      <x:c r="J133"/>
      <x:c r="K133" s="22" t="str">
        <x:f>IF(B133="","",START_HERE!$B$7)</x:f>
      </x:c>
      <x:c r="L133" s="22" t="str">
        <x:f>IF(B133="","",ROUND(K133-H133,2))</x:f>
      </x:c>
      <x:c r="M133"/>
      <x:c r="N133" t="str">
        <x:f>IF(B133="","",IF(J133&lt;&gt;"Completed","Not counted",IF(H133&lt;=0,"CHECK TIME","OK")))</x:f>
      </x:c>
    </x:row>
    <x:row r="134">
      <x:c r="A134" t="str">
        <x:f>IF(B134="","",ROW()-1)</x:f>
      </x:c>
      <x:c r="B134" s="24"/>
      <x:c r="C134" t="str">
        <x:f>IF(B134="","",TEXT(B134,"mmm-yyyy"))</x:f>
      </x:c>
      <x:c r="D134" t="str">
        <x:f>IF(B134="","",TEXT(B134,"ddd"))</x:f>
      </x:c>
      <x:c r="E134" s="32"/>
      <x:c r="F134" s="32"/>
      <x:c r="G134"/>
      <x:c r="H134" s="22" t="n">
        <x:f>IF(OR(B134="",J134&lt;&gt;"Completed"),0,IF(AND(ISNUMBER(E134),ISNUMBER(F134)),ROUND(((F134-E134)+(F134&lt;E134))*24-(N(G134)/60),2),0))</x:f>
        <x:v>0</x:v>
      </x:c>
      <x:c r="I134" s="34" t="str">
        <x:f>IF(H134=0,"",H134/24)</x:f>
      </x:c>
      <x:c r="J134"/>
      <x:c r="K134" s="22" t="str">
        <x:f>IF(B134="","",START_HERE!$B$7)</x:f>
      </x:c>
      <x:c r="L134" s="22" t="str">
        <x:f>IF(B134="","",ROUND(K134-H134,2))</x:f>
      </x:c>
      <x:c r="M134"/>
      <x:c r="N134" t="str">
        <x:f>IF(B134="","",IF(J134&lt;&gt;"Completed","Not counted",IF(H134&lt;=0,"CHECK TIME","OK")))</x:f>
      </x:c>
    </x:row>
    <x:row r="135">
      <x:c r="A135" t="str">
        <x:f>IF(B135="","",ROW()-1)</x:f>
      </x:c>
      <x:c r="B135" s="24"/>
      <x:c r="C135" t="str">
        <x:f>IF(B135="","",TEXT(B135,"mmm-yyyy"))</x:f>
      </x:c>
      <x:c r="D135" t="str">
        <x:f>IF(B135="","",TEXT(B135,"ddd"))</x:f>
      </x:c>
      <x:c r="E135" s="32"/>
      <x:c r="F135" s="32"/>
      <x:c r="G135"/>
      <x:c r="H135" s="22" t="n">
        <x:f>IF(OR(B135="",J135&lt;&gt;"Completed"),0,IF(AND(ISNUMBER(E135),ISNUMBER(F135)),ROUND(((F135-E135)+(F135&lt;E135))*24-(N(G135)/60),2),0))</x:f>
        <x:v>0</x:v>
      </x:c>
      <x:c r="I135" s="34" t="str">
        <x:f>IF(H135=0,"",H135/24)</x:f>
      </x:c>
      <x:c r="J135"/>
      <x:c r="K135" s="22" t="str">
        <x:f>IF(B135="","",START_HERE!$B$7)</x:f>
      </x:c>
      <x:c r="L135" s="22" t="str">
        <x:f>IF(B135="","",ROUND(K135-H135,2))</x:f>
      </x:c>
      <x:c r="M135"/>
      <x:c r="N135" t="str">
        <x:f>IF(B135="","",IF(J135&lt;&gt;"Completed","Not counted",IF(H135&lt;=0,"CHECK TIME","OK")))</x:f>
      </x:c>
    </x:row>
    <x:row r="136">
      <x:c r="A136" t="str">
        <x:f>IF(B136="","",ROW()-1)</x:f>
      </x:c>
      <x:c r="B136" s="24"/>
      <x:c r="C136" t="str">
        <x:f>IF(B136="","",TEXT(B136,"mmm-yyyy"))</x:f>
      </x:c>
      <x:c r="D136" t="str">
        <x:f>IF(B136="","",TEXT(B136,"ddd"))</x:f>
      </x:c>
      <x:c r="E136" s="32"/>
      <x:c r="F136" s="32"/>
      <x:c r="G136"/>
      <x:c r="H136" s="22" t="n">
        <x:f>IF(OR(B136="",J136&lt;&gt;"Completed"),0,IF(AND(ISNUMBER(E136),ISNUMBER(F136)),ROUND(((F136-E136)+(F136&lt;E136))*24-(N(G136)/60),2),0))</x:f>
        <x:v>0</x:v>
      </x:c>
      <x:c r="I136" s="34" t="str">
        <x:f>IF(H136=0,"",H136/24)</x:f>
      </x:c>
      <x:c r="J136"/>
      <x:c r="K136" s="22" t="str">
        <x:f>IF(B136="","",START_HERE!$B$7)</x:f>
      </x:c>
      <x:c r="L136" s="22" t="str">
        <x:f>IF(B136="","",ROUND(K136-H136,2))</x:f>
      </x:c>
      <x:c r="M136"/>
      <x:c r="N136" t="str">
        <x:f>IF(B136="","",IF(J136&lt;&gt;"Completed","Not counted",IF(H136&lt;=0,"CHECK TIME","OK")))</x:f>
      </x:c>
    </x:row>
    <x:row r="137">
      <x:c r="A137" t="str">
        <x:f>IF(B137="","",ROW()-1)</x:f>
      </x:c>
      <x:c r="B137" s="24"/>
      <x:c r="C137" t="str">
        <x:f>IF(B137="","",TEXT(B137,"mmm-yyyy"))</x:f>
      </x:c>
      <x:c r="D137" t="str">
        <x:f>IF(B137="","",TEXT(B137,"ddd"))</x:f>
      </x:c>
      <x:c r="E137" s="32"/>
      <x:c r="F137" s="32"/>
      <x:c r="G137"/>
      <x:c r="H137" s="22" t="n">
        <x:f>IF(OR(B137="",J137&lt;&gt;"Completed"),0,IF(AND(ISNUMBER(E137),ISNUMBER(F137)),ROUND(((F137-E137)+(F137&lt;E137))*24-(N(G137)/60),2),0))</x:f>
        <x:v>0</x:v>
      </x:c>
      <x:c r="I137" s="34" t="str">
        <x:f>IF(H137=0,"",H137/24)</x:f>
      </x:c>
      <x:c r="J137"/>
      <x:c r="K137" s="22" t="str">
        <x:f>IF(B137="","",START_HERE!$B$7)</x:f>
      </x:c>
      <x:c r="L137" s="22" t="str">
        <x:f>IF(B137="","",ROUND(K137-H137,2))</x:f>
      </x:c>
      <x:c r="M137"/>
      <x:c r="N137" t="str">
        <x:f>IF(B137="","",IF(J137&lt;&gt;"Completed","Not counted",IF(H137&lt;=0,"CHECK TIME","OK")))</x:f>
      </x:c>
    </x:row>
    <x:row r="138">
      <x:c r="A138" t="str">
        <x:f>IF(B138="","",ROW()-1)</x:f>
      </x:c>
      <x:c r="B138" s="24"/>
      <x:c r="C138" t="str">
        <x:f>IF(B138="","",TEXT(B138,"mmm-yyyy"))</x:f>
      </x:c>
      <x:c r="D138" t="str">
        <x:f>IF(B138="","",TEXT(B138,"ddd"))</x:f>
      </x:c>
      <x:c r="E138" s="32"/>
      <x:c r="F138" s="32"/>
      <x:c r="G138"/>
      <x:c r="H138" s="22" t="n">
        <x:f>IF(OR(B138="",J138&lt;&gt;"Completed"),0,IF(AND(ISNUMBER(E138),ISNUMBER(F138)),ROUND(((F138-E138)+(F138&lt;E138))*24-(N(G138)/60),2),0))</x:f>
        <x:v>0</x:v>
      </x:c>
      <x:c r="I138" s="34" t="str">
        <x:f>IF(H138=0,"",H138/24)</x:f>
      </x:c>
      <x:c r="J138"/>
      <x:c r="K138" s="22" t="str">
        <x:f>IF(B138="","",START_HERE!$B$7)</x:f>
      </x:c>
      <x:c r="L138" s="22" t="str">
        <x:f>IF(B138="","",ROUND(K138-H138,2))</x:f>
      </x:c>
      <x:c r="M138"/>
      <x:c r="N138" t="str">
        <x:f>IF(B138="","",IF(J138&lt;&gt;"Completed","Not counted",IF(H138&lt;=0,"CHECK TIME","OK")))</x:f>
      </x:c>
    </x:row>
    <x:row r="139">
      <x:c r="A139" t="str">
        <x:f>IF(B139="","",ROW()-1)</x:f>
      </x:c>
      <x:c r="B139" s="24"/>
      <x:c r="C139" t="str">
        <x:f>IF(B139="","",TEXT(B139,"mmm-yyyy"))</x:f>
      </x:c>
      <x:c r="D139" t="str">
        <x:f>IF(B139="","",TEXT(B139,"ddd"))</x:f>
      </x:c>
      <x:c r="E139" s="32"/>
      <x:c r="F139" s="32"/>
      <x:c r="G139"/>
      <x:c r="H139" s="22" t="n">
        <x:f>IF(OR(B139="",J139&lt;&gt;"Completed"),0,IF(AND(ISNUMBER(E139),ISNUMBER(F139)),ROUND(((F139-E139)+(F139&lt;E139))*24-(N(G139)/60),2),0))</x:f>
        <x:v>0</x:v>
      </x:c>
      <x:c r="I139" s="34" t="str">
        <x:f>IF(H139=0,"",H139/24)</x:f>
      </x:c>
      <x:c r="J139"/>
      <x:c r="K139" s="22" t="str">
        <x:f>IF(B139="","",START_HERE!$B$7)</x:f>
      </x:c>
      <x:c r="L139" s="22" t="str">
        <x:f>IF(B139="","",ROUND(K139-H139,2))</x:f>
      </x:c>
      <x:c r="M139"/>
      <x:c r="N139" t="str">
        <x:f>IF(B139="","",IF(J139&lt;&gt;"Completed","Not counted",IF(H139&lt;=0,"CHECK TIME","OK")))</x:f>
      </x:c>
    </x:row>
    <x:row r="140">
      <x:c r="A140" t="str">
        <x:f>IF(B140="","",ROW()-1)</x:f>
      </x:c>
      <x:c r="B140" s="24"/>
      <x:c r="C140" t="str">
        <x:f>IF(B140="","",TEXT(B140,"mmm-yyyy"))</x:f>
      </x:c>
      <x:c r="D140" t="str">
        <x:f>IF(B140="","",TEXT(B140,"ddd"))</x:f>
      </x:c>
      <x:c r="E140" s="32"/>
      <x:c r="F140" s="32"/>
      <x:c r="G140"/>
      <x:c r="H140" s="22" t="n">
        <x:f>IF(OR(B140="",J140&lt;&gt;"Completed"),0,IF(AND(ISNUMBER(E140),ISNUMBER(F140)),ROUND(((F140-E140)+(F140&lt;E140))*24-(N(G140)/60),2),0))</x:f>
        <x:v>0</x:v>
      </x:c>
      <x:c r="I140" s="34" t="str">
        <x:f>IF(H140=0,"",H140/24)</x:f>
      </x:c>
      <x:c r="J140"/>
      <x:c r="K140" s="22" t="str">
        <x:f>IF(B140="","",START_HERE!$B$7)</x:f>
      </x:c>
      <x:c r="L140" s="22" t="str">
        <x:f>IF(B140="","",ROUND(K140-H140,2))</x:f>
      </x:c>
      <x:c r="M140"/>
      <x:c r="N140" t="str">
        <x:f>IF(B140="","",IF(J140&lt;&gt;"Completed","Not counted",IF(H140&lt;=0,"CHECK TIME","OK")))</x:f>
      </x:c>
    </x:row>
    <x:row r="141">
      <x:c r="A141" t="str">
        <x:f>IF(B141="","",ROW()-1)</x:f>
      </x:c>
      <x:c r="B141" s="24"/>
      <x:c r="C141" t="str">
        <x:f>IF(B141="","",TEXT(B141,"mmm-yyyy"))</x:f>
      </x:c>
      <x:c r="D141" t="str">
        <x:f>IF(B141="","",TEXT(B141,"ddd"))</x:f>
      </x:c>
      <x:c r="E141" s="32"/>
      <x:c r="F141" s="32"/>
      <x:c r="G141"/>
      <x:c r="H141" s="22" t="n">
        <x:f>IF(OR(B141="",J141&lt;&gt;"Completed"),0,IF(AND(ISNUMBER(E141),ISNUMBER(F141)),ROUND(((F141-E141)+(F141&lt;E141))*24-(N(G141)/60),2),0))</x:f>
        <x:v>0</x:v>
      </x:c>
      <x:c r="I141" s="34" t="str">
        <x:f>IF(H141=0,"",H141/24)</x:f>
      </x:c>
      <x:c r="J141"/>
      <x:c r="K141" s="22" t="str">
        <x:f>IF(B141="","",START_HERE!$B$7)</x:f>
      </x:c>
      <x:c r="L141" s="22" t="str">
        <x:f>IF(B141="","",ROUND(K141-H141,2))</x:f>
      </x:c>
      <x:c r="M141"/>
      <x:c r="N141" t="str">
        <x:f>IF(B141="","",IF(J141&lt;&gt;"Completed","Not counted",IF(H141&lt;=0,"CHECK TIME","OK")))</x:f>
      </x:c>
    </x:row>
    <x:row r="142">
      <x:c r="A142" t="str">
        <x:f>IF(B142="","",ROW()-1)</x:f>
      </x:c>
      <x:c r="B142" s="24"/>
      <x:c r="C142" t="str">
        <x:f>IF(B142="","",TEXT(B142,"mmm-yyyy"))</x:f>
      </x:c>
      <x:c r="D142" t="str">
        <x:f>IF(B142="","",TEXT(B142,"ddd"))</x:f>
      </x:c>
      <x:c r="E142" s="32"/>
      <x:c r="F142" s="32"/>
      <x:c r="G142"/>
      <x:c r="H142" s="22" t="n">
        <x:f>IF(OR(B142="",J142&lt;&gt;"Completed"),0,IF(AND(ISNUMBER(E142),ISNUMBER(F142)),ROUND(((F142-E142)+(F142&lt;E142))*24-(N(G142)/60),2),0))</x:f>
        <x:v>0</x:v>
      </x:c>
      <x:c r="I142" s="34" t="str">
        <x:f>IF(H142=0,"",H142/24)</x:f>
      </x:c>
      <x:c r="J142"/>
      <x:c r="K142" s="22" t="str">
        <x:f>IF(B142="","",START_HERE!$B$7)</x:f>
      </x:c>
      <x:c r="L142" s="22" t="str">
        <x:f>IF(B142="","",ROUND(K142-H142,2))</x:f>
      </x:c>
      <x:c r="M142"/>
      <x:c r="N142" t="str">
        <x:f>IF(B142="","",IF(J142&lt;&gt;"Completed","Not counted",IF(H142&lt;=0,"CHECK TIME","OK")))</x:f>
      </x:c>
    </x:row>
    <x:row r="143">
      <x:c r="A143" t="str">
        <x:f>IF(B143="","",ROW()-1)</x:f>
      </x:c>
      <x:c r="B143" s="24"/>
      <x:c r="C143" t="str">
        <x:f>IF(B143="","",TEXT(B143,"mmm-yyyy"))</x:f>
      </x:c>
      <x:c r="D143" t="str">
        <x:f>IF(B143="","",TEXT(B143,"ddd"))</x:f>
      </x:c>
      <x:c r="E143" s="32"/>
      <x:c r="F143" s="32"/>
      <x:c r="G143"/>
      <x:c r="H143" s="22" t="n">
        <x:f>IF(OR(B143="",J143&lt;&gt;"Completed"),0,IF(AND(ISNUMBER(E143),ISNUMBER(F143)),ROUND(((F143-E143)+(F143&lt;E143))*24-(N(G143)/60),2),0))</x:f>
        <x:v>0</x:v>
      </x:c>
      <x:c r="I143" s="34" t="str">
        <x:f>IF(H143=0,"",H143/24)</x:f>
      </x:c>
      <x:c r="J143"/>
      <x:c r="K143" s="22" t="str">
        <x:f>IF(B143="","",START_HERE!$B$7)</x:f>
      </x:c>
      <x:c r="L143" s="22" t="str">
        <x:f>IF(B143="","",ROUND(K143-H143,2))</x:f>
      </x:c>
      <x:c r="M143"/>
      <x:c r="N143" t="str">
        <x:f>IF(B143="","",IF(J143&lt;&gt;"Completed","Not counted",IF(H143&lt;=0,"CHECK TIME","OK")))</x:f>
      </x:c>
    </x:row>
    <x:row r="144">
      <x:c r="A144" t="str">
        <x:f>IF(B144="","",ROW()-1)</x:f>
      </x:c>
      <x:c r="B144" s="24"/>
      <x:c r="C144" t="str">
        <x:f>IF(B144="","",TEXT(B144,"mmm-yyyy"))</x:f>
      </x:c>
      <x:c r="D144" t="str">
        <x:f>IF(B144="","",TEXT(B144,"ddd"))</x:f>
      </x:c>
      <x:c r="E144" s="32"/>
      <x:c r="F144" s="32"/>
      <x:c r="G144"/>
      <x:c r="H144" s="22" t="n">
        <x:f>IF(OR(B144="",J144&lt;&gt;"Completed"),0,IF(AND(ISNUMBER(E144),ISNUMBER(F144)),ROUND(((F144-E144)+(F144&lt;E144))*24-(N(G144)/60),2),0))</x:f>
        <x:v>0</x:v>
      </x:c>
      <x:c r="I144" s="34" t="str">
        <x:f>IF(H144=0,"",H144/24)</x:f>
      </x:c>
      <x:c r="J144"/>
      <x:c r="K144" s="22" t="str">
        <x:f>IF(B144="","",START_HERE!$B$7)</x:f>
      </x:c>
      <x:c r="L144" s="22" t="str">
        <x:f>IF(B144="","",ROUND(K144-H144,2))</x:f>
      </x:c>
      <x:c r="M144"/>
      <x:c r="N144" t="str">
        <x:f>IF(B144="","",IF(J144&lt;&gt;"Completed","Not counted",IF(H144&lt;=0,"CHECK TIME","OK")))</x:f>
      </x:c>
    </x:row>
    <x:row r="145">
      <x:c r="A145" t="str">
        <x:f>IF(B145="","",ROW()-1)</x:f>
      </x:c>
      <x:c r="B145" s="24"/>
      <x:c r="C145" t="str">
        <x:f>IF(B145="","",TEXT(B145,"mmm-yyyy"))</x:f>
      </x:c>
      <x:c r="D145" t="str">
        <x:f>IF(B145="","",TEXT(B145,"ddd"))</x:f>
      </x:c>
      <x:c r="E145" s="32"/>
      <x:c r="F145" s="32"/>
      <x:c r="G145"/>
      <x:c r="H145" s="22" t="n">
        <x:f>IF(OR(B145="",J145&lt;&gt;"Completed"),0,IF(AND(ISNUMBER(E145),ISNUMBER(F145)),ROUND(((F145-E145)+(F145&lt;E145))*24-(N(G145)/60),2),0))</x:f>
        <x:v>0</x:v>
      </x:c>
      <x:c r="I145" s="34" t="str">
        <x:f>IF(H145=0,"",H145/24)</x:f>
      </x:c>
      <x:c r="J145"/>
      <x:c r="K145" s="22" t="str">
        <x:f>IF(B145="","",START_HERE!$B$7)</x:f>
      </x:c>
      <x:c r="L145" s="22" t="str">
        <x:f>IF(B145="","",ROUND(K145-H145,2))</x:f>
      </x:c>
      <x:c r="M145"/>
      <x:c r="N145" t="str">
        <x:f>IF(B145="","",IF(J145&lt;&gt;"Completed","Not counted",IF(H145&lt;=0,"CHECK TIME","OK")))</x:f>
      </x:c>
    </x:row>
    <x:row r="146">
      <x:c r="A146" t="str">
        <x:f>IF(B146="","",ROW()-1)</x:f>
      </x:c>
      <x:c r="B146" s="24"/>
      <x:c r="C146" t="str">
        <x:f>IF(B146="","",TEXT(B146,"mmm-yyyy"))</x:f>
      </x:c>
      <x:c r="D146" t="str">
        <x:f>IF(B146="","",TEXT(B146,"ddd"))</x:f>
      </x:c>
      <x:c r="E146" s="32"/>
      <x:c r="F146" s="32"/>
      <x:c r="G146"/>
      <x:c r="H146" s="22" t="n">
        <x:f>IF(OR(B146="",J146&lt;&gt;"Completed"),0,IF(AND(ISNUMBER(E146),ISNUMBER(F146)),ROUND(((F146-E146)+(F146&lt;E146))*24-(N(G146)/60),2),0))</x:f>
        <x:v>0</x:v>
      </x:c>
      <x:c r="I146" s="34" t="str">
        <x:f>IF(H146=0,"",H146/24)</x:f>
      </x:c>
      <x:c r="J146"/>
      <x:c r="K146" s="22" t="str">
        <x:f>IF(B146="","",START_HERE!$B$7)</x:f>
      </x:c>
      <x:c r="L146" s="22" t="str">
        <x:f>IF(B146="","",ROUND(K146-H146,2))</x:f>
      </x:c>
      <x:c r="M146"/>
      <x:c r="N146" t="str">
        <x:f>IF(B146="","",IF(J146&lt;&gt;"Completed","Not counted",IF(H146&lt;=0,"CHECK TIME","OK")))</x:f>
      </x:c>
    </x:row>
    <x:row r="147">
      <x:c r="A147" t="str">
        <x:f>IF(B147="","",ROW()-1)</x:f>
      </x:c>
      <x:c r="B147" s="24"/>
      <x:c r="C147" t="str">
        <x:f>IF(B147="","",TEXT(B147,"mmm-yyyy"))</x:f>
      </x:c>
      <x:c r="D147" t="str">
        <x:f>IF(B147="","",TEXT(B147,"ddd"))</x:f>
      </x:c>
      <x:c r="E147" s="32"/>
      <x:c r="F147" s="32"/>
      <x:c r="G147"/>
      <x:c r="H147" s="22" t="n">
        <x:f>IF(OR(B147="",J147&lt;&gt;"Completed"),0,IF(AND(ISNUMBER(E147),ISNUMBER(F147)),ROUND(((F147-E147)+(F147&lt;E147))*24-(N(G147)/60),2),0))</x:f>
        <x:v>0</x:v>
      </x:c>
      <x:c r="I147" s="34" t="str">
        <x:f>IF(H147=0,"",H147/24)</x:f>
      </x:c>
      <x:c r="J147"/>
      <x:c r="K147" s="22" t="str">
        <x:f>IF(B147="","",START_HERE!$B$7)</x:f>
      </x:c>
      <x:c r="L147" s="22" t="str">
        <x:f>IF(B147="","",ROUND(K147-H147,2))</x:f>
      </x:c>
      <x:c r="M147"/>
      <x:c r="N147" t="str">
        <x:f>IF(B147="","",IF(J147&lt;&gt;"Completed","Not counted",IF(H147&lt;=0,"CHECK TIME","OK")))</x:f>
      </x:c>
    </x:row>
    <x:row r="148">
      <x:c r="A148" t="str">
        <x:f>IF(B148="","",ROW()-1)</x:f>
      </x:c>
      <x:c r="B148" s="24"/>
      <x:c r="C148" t="str">
        <x:f>IF(B148="","",TEXT(B148,"mmm-yyyy"))</x:f>
      </x:c>
      <x:c r="D148" t="str">
        <x:f>IF(B148="","",TEXT(B148,"ddd"))</x:f>
      </x:c>
      <x:c r="E148" s="32"/>
      <x:c r="F148" s="32"/>
      <x:c r="G148"/>
      <x:c r="H148" s="22" t="n">
        <x:f>IF(OR(B148="",J148&lt;&gt;"Completed"),0,IF(AND(ISNUMBER(E148),ISNUMBER(F148)),ROUND(((F148-E148)+(F148&lt;E148))*24-(N(G148)/60),2),0))</x:f>
        <x:v>0</x:v>
      </x:c>
      <x:c r="I148" s="34" t="str">
        <x:f>IF(H148=0,"",H148/24)</x:f>
      </x:c>
      <x:c r="J148"/>
      <x:c r="K148" s="22" t="str">
        <x:f>IF(B148="","",START_HERE!$B$7)</x:f>
      </x:c>
      <x:c r="L148" s="22" t="str">
        <x:f>IF(B148="","",ROUND(K148-H148,2))</x:f>
      </x:c>
      <x:c r="M148"/>
      <x:c r="N148" t="str">
        <x:f>IF(B148="","",IF(J148&lt;&gt;"Completed","Not counted",IF(H148&lt;=0,"CHECK TIME","OK")))</x:f>
      </x:c>
    </x:row>
    <x:row r="149">
      <x:c r="A149" t="str">
        <x:f>IF(B149="","",ROW()-1)</x:f>
      </x:c>
      <x:c r="B149" s="24"/>
      <x:c r="C149" t="str">
        <x:f>IF(B149="","",TEXT(B149,"mmm-yyyy"))</x:f>
      </x:c>
      <x:c r="D149" t="str">
        <x:f>IF(B149="","",TEXT(B149,"ddd"))</x:f>
      </x:c>
      <x:c r="E149" s="32"/>
      <x:c r="F149" s="32"/>
      <x:c r="G149"/>
      <x:c r="H149" s="22" t="n">
        <x:f>IF(OR(B149="",J149&lt;&gt;"Completed"),0,IF(AND(ISNUMBER(E149),ISNUMBER(F149)),ROUND(((F149-E149)+(F149&lt;E149))*24-(N(G149)/60),2),0))</x:f>
        <x:v>0</x:v>
      </x:c>
      <x:c r="I149" s="34" t="str">
        <x:f>IF(H149=0,"",H149/24)</x:f>
      </x:c>
      <x:c r="J149"/>
      <x:c r="K149" s="22" t="str">
        <x:f>IF(B149="","",START_HERE!$B$7)</x:f>
      </x:c>
      <x:c r="L149" s="22" t="str">
        <x:f>IF(B149="","",ROUND(K149-H149,2))</x:f>
      </x:c>
      <x:c r="M149"/>
      <x:c r="N149" t="str">
        <x:f>IF(B149="","",IF(J149&lt;&gt;"Completed","Not counted",IF(H149&lt;=0,"CHECK TIME","OK")))</x:f>
      </x:c>
    </x:row>
    <x:row r="150">
      <x:c r="A150" t="str">
        <x:f>IF(B150="","",ROW()-1)</x:f>
      </x:c>
      <x:c r="B150" s="24"/>
      <x:c r="C150" t="str">
        <x:f>IF(B150="","",TEXT(B150,"mmm-yyyy"))</x:f>
      </x:c>
      <x:c r="D150" t="str">
        <x:f>IF(B150="","",TEXT(B150,"ddd"))</x:f>
      </x:c>
      <x:c r="E150" s="32"/>
      <x:c r="F150" s="32"/>
      <x:c r="G150"/>
      <x:c r="H150" s="22" t="n">
        <x:f>IF(OR(B150="",J150&lt;&gt;"Completed"),0,IF(AND(ISNUMBER(E150),ISNUMBER(F150)),ROUND(((F150-E150)+(F150&lt;E150))*24-(N(G150)/60),2),0))</x:f>
        <x:v>0</x:v>
      </x:c>
      <x:c r="I150" s="34" t="str">
        <x:f>IF(H150=0,"",H150/24)</x:f>
      </x:c>
      <x:c r="J150"/>
      <x:c r="K150" s="22" t="str">
        <x:f>IF(B150="","",START_HERE!$B$7)</x:f>
      </x:c>
      <x:c r="L150" s="22" t="str">
        <x:f>IF(B150="","",ROUND(K150-H150,2))</x:f>
      </x:c>
      <x:c r="M150"/>
      <x:c r="N150" t="str">
        <x:f>IF(B150="","",IF(J150&lt;&gt;"Completed","Not counted",IF(H150&lt;=0,"CHECK TIME","OK")))</x:f>
      </x:c>
    </x:row>
    <x:row r="151">
      <x:c r="A151" t="str">
        <x:f>IF(B151="","",ROW()-1)</x:f>
      </x:c>
      <x:c r="B151" s="24"/>
      <x:c r="C151" t="str">
        <x:f>IF(B151="","",TEXT(B151,"mmm-yyyy"))</x:f>
      </x:c>
      <x:c r="D151" t="str">
        <x:f>IF(B151="","",TEXT(B151,"ddd"))</x:f>
      </x:c>
      <x:c r="E151" s="32"/>
      <x:c r="F151" s="32"/>
      <x:c r="G151"/>
      <x:c r="H151" s="22" t="n">
        <x:f>IF(OR(B151="",J151&lt;&gt;"Completed"),0,IF(AND(ISNUMBER(E151),ISNUMBER(F151)),ROUND(((F151-E151)+(F151&lt;E151))*24-(N(G151)/60),2),0))</x:f>
        <x:v>0</x:v>
      </x:c>
      <x:c r="I151" s="34" t="str">
        <x:f>IF(H151=0,"",H151/24)</x:f>
      </x:c>
      <x:c r="J151"/>
      <x:c r="K151" s="22" t="str">
        <x:f>IF(B151="","",START_HERE!$B$7)</x:f>
      </x:c>
      <x:c r="L151" s="22" t="str">
        <x:f>IF(B151="","",ROUND(K151-H151,2))</x:f>
      </x:c>
      <x:c r="M151"/>
      <x:c r="N151" t="str">
        <x:f>IF(B151="","",IF(J151&lt;&gt;"Completed","Not counted",IF(H151&lt;=0,"CHECK TIME","OK")))</x:f>
      </x:c>
    </x:row>
    <x:row r="152">
      <x:c r="A152" t="str">
        <x:f>IF(B152="","",ROW()-1)</x:f>
      </x:c>
      <x:c r="B152" s="24"/>
      <x:c r="C152" t="str">
        <x:f>IF(B152="","",TEXT(B152,"mmm-yyyy"))</x:f>
      </x:c>
      <x:c r="D152" t="str">
        <x:f>IF(B152="","",TEXT(B152,"ddd"))</x:f>
      </x:c>
      <x:c r="E152" s="32"/>
      <x:c r="F152" s="32"/>
      <x:c r="G152"/>
      <x:c r="H152" s="22" t="n">
        <x:f>IF(OR(B152="",J152&lt;&gt;"Completed"),0,IF(AND(ISNUMBER(E152),ISNUMBER(F152)),ROUND(((F152-E152)+(F152&lt;E152))*24-(N(G152)/60),2),0))</x:f>
        <x:v>0</x:v>
      </x:c>
      <x:c r="I152" s="34" t="str">
        <x:f>IF(H152=0,"",H152/24)</x:f>
      </x:c>
      <x:c r="J152"/>
      <x:c r="K152" s="22" t="str">
        <x:f>IF(B152="","",START_HERE!$B$7)</x:f>
      </x:c>
      <x:c r="L152" s="22" t="str">
        <x:f>IF(B152="","",ROUND(K152-H152,2))</x:f>
      </x:c>
      <x:c r="M152"/>
      <x:c r="N152" t="str">
        <x:f>IF(B152="","",IF(J152&lt;&gt;"Completed","Not counted",IF(H152&lt;=0,"CHECK TIME","OK")))</x:f>
      </x:c>
    </x:row>
    <x:row r="153">
      <x:c r="A153" t="str">
        <x:f>IF(B153="","",ROW()-1)</x:f>
      </x:c>
      <x:c r="B153" s="24"/>
      <x:c r="C153" t="str">
        <x:f>IF(B153="","",TEXT(B153,"mmm-yyyy"))</x:f>
      </x:c>
      <x:c r="D153" t="str">
        <x:f>IF(B153="","",TEXT(B153,"ddd"))</x:f>
      </x:c>
      <x:c r="E153" s="32"/>
      <x:c r="F153" s="32"/>
      <x:c r="G153"/>
      <x:c r="H153" s="22" t="n">
        <x:f>IF(OR(B153="",J153&lt;&gt;"Completed"),0,IF(AND(ISNUMBER(E153),ISNUMBER(F153)),ROUND(((F153-E153)+(F153&lt;E153))*24-(N(G153)/60),2),0))</x:f>
        <x:v>0</x:v>
      </x:c>
      <x:c r="I153" s="34" t="str">
        <x:f>IF(H153=0,"",H153/24)</x:f>
      </x:c>
      <x:c r="J153"/>
      <x:c r="K153" s="22" t="str">
        <x:f>IF(B153="","",START_HERE!$B$7)</x:f>
      </x:c>
      <x:c r="L153" s="22" t="str">
        <x:f>IF(B153="","",ROUND(K153-H153,2))</x:f>
      </x:c>
      <x:c r="M153"/>
      <x:c r="N153" t="str">
        <x:f>IF(B153="","",IF(J153&lt;&gt;"Completed","Not counted",IF(H153&lt;=0,"CHECK TIME","OK")))</x:f>
      </x:c>
    </x:row>
    <x:row r="154">
      <x:c r="A154" t="str">
        <x:f>IF(B154="","",ROW()-1)</x:f>
      </x:c>
      <x:c r="B154" s="24"/>
      <x:c r="C154" t="str">
        <x:f>IF(B154="","",TEXT(B154,"mmm-yyyy"))</x:f>
      </x:c>
      <x:c r="D154" t="str">
        <x:f>IF(B154="","",TEXT(B154,"ddd"))</x:f>
      </x:c>
      <x:c r="E154" s="32"/>
      <x:c r="F154" s="32"/>
      <x:c r="G154"/>
      <x:c r="H154" s="22" t="n">
        <x:f>IF(OR(B154="",J154&lt;&gt;"Completed"),0,IF(AND(ISNUMBER(E154),ISNUMBER(F154)),ROUND(((F154-E154)+(F154&lt;E154))*24-(N(G154)/60),2),0))</x:f>
        <x:v>0</x:v>
      </x:c>
      <x:c r="I154" s="34" t="str">
        <x:f>IF(H154=0,"",H154/24)</x:f>
      </x:c>
      <x:c r="J154"/>
      <x:c r="K154" s="22" t="str">
        <x:f>IF(B154="","",START_HERE!$B$7)</x:f>
      </x:c>
      <x:c r="L154" s="22" t="str">
        <x:f>IF(B154="","",ROUND(K154-H154,2))</x:f>
      </x:c>
      <x:c r="M154"/>
      <x:c r="N154" t="str">
        <x:f>IF(B154="","",IF(J154&lt;&gt;"Completed","Not counted",IF(H154&lt;=0,"CHECK TIME","OK")))</x:f>
      </x:c>
    </x:row>
    <x:row r="155">
      <x:c r="A155" t="str">
        <x:f>IF(B155="","",ROW()-1)</x:f>
      </x:c>
      <x:c r="B155" s="24"/>
      <x:c r="C155" t="str">
        <x:f>IF(B155="","",TEXT(B155,"mmm-yyyy"))</x:f>
      </x:c>
      <x:c r="D155" t="str">
        <x:f>IF(B155="","",TEXT(B155,"ddd"))</x:f>
      </x:c>
      <x:c r="E155" s="32"/>
      <x:c r="F155" s="32"/>
      <x:c r="G155"/>
      <x:c r="H155" s="22" t="n">
        <x:f>IF(OR(B155="",J155&lt;&gt;"Completed"),0,IF(AND(ISNUMBER(E155),ISNUMBER(F155)),ROUND(((F155-E155)+(F155&lt;E155))*24-(N(G155)/60),2),0))</x:f>
        <x:v>0</x:v>
      </x:c>
      <x:c r="I155" s="34" t="str">
        <x:f>IF(H155=0,"",H155/24)</x:f>
      </x:c>
      <x:c r="J155"/>
      <x:c r="K155" s="22" t="str">
        <x:f>IF(B155="","",START_HERE!$B$7)</x:f>
      </x:c>
      <x:c r="L155" s="22" t="str">
        <x:f>IF(B155="","",ROUND(K155-H155,2))</x:f>
      </x:c>
      <x:c r="M155"/>
      <x:c r="N155" t="str">
        <x:f>IF(B155="","",IF(J155&lt;&gt;"Completed","Not counted",IF(H155&lt;=0,"CHECK TIME","OK")))</x:f>
      </x:c>
    </x:row>
    <x:row r="156">
      <x:c r="A156" t="str">
        <x:f>IF(B156="","",ROW()-1)</x:f>
      </x:c>
      <x:c r="B156" s="24"/>
      <x:c r="C156" t="str">
        <x:f>IF(B156="","",TEXT(B156,"mmm-yyyy"))</x:f>
      </x:c>
      <x:c r="D156" t="str">
        <x:f>IF(B156="","",TEXT(B156,"ddd"))</x:f>
      </x:c>
      <x:c r="E156" s="32"/>
      <x:c r="F156" s="32"/>
      <x:c r="G156"/>
      <x:c r="H156" s="22" t="n">
        <x:f>IF(OR(B156="",J156&lt;&gt;"Completed"),0,IF(AND(ISNUMBER(E156),ISNUMBER(F156)),ROUND(((F156-E156)+(F156&lt;E156))*24-(N(G156)/60),2),0))</x:f>
        <x:v>0</x:v>
      </x:c>
      <x:c r="I156" s="34" t="str">
        <x:f>IF(H156=0,"",H156/24)</x:f>
      </x:c>
      <x:c r="J156"/>
      <x:c r="K156" s="22" t="str">
        <x:f>IF(B156="","",START_HERE!$B$7)</x:f>
      </x:c>
      <x:c r="L156" s="22" t="str">
        <x:f>IF(B156="","",ROUND(K156-H156,2))</x:f>
      </x:c>
      <x:c r="M156"/>
      <x:c r="N156" t="str">
        <x:f>IF(B156="","",IF(J156&lt;&gt;"Completed","Not counted",IF(H156&lt;=0,"CHECK TIME","OK")))</x:f>
      </x:c>
    </x:row>
    <x:row r="157">
      <x:c r="A157" t="str">
        <x:f>IF(B157="","",ROW()-1)</x:f>
      </x:c>
      <x:c r="B157" s="24"/>
      <x:c r="C157" t="str">
        <x:f>IF(B157="","",TEXT(B157,"mmm-yyyy"))</x:f>
      </x:c>
      <x:c r="D157" t="str">
        <x:f>IF(B157="","",TEXT(B157,"ddd"))</x:f>
      </x:c>
      <x:c r="E157" s="32"/>
      <x:c r="F157" s="32"/>
      <x:c r="G157"/>
      <x:c r="H157" s="22" t="n">
        <x:f>IF(OR(B157="",J157&lt;&gt;"Completed"),0,IF(AND(ISNUMBER(E157),ISNUMBER(F157)),ROUND(((F157-E157)+(F157&lt;E157))*24-(N(G157)/60),2),0))</x:f>
        <x:v>0</x:v>
      </x:c>
      <x:c r="I157" s="34" t="str">
        <x:f>IF(H157=0,"",H157/24)</x:f>
      </x:c>
      <x:c r="J157"/>
      <x:c r="K157" s="22" t="str">
        <x:f>IF(B157="","",START_HERE!$B$7)</x:f>
      </x:c>
      <x:c r="L157" s="22" t="str">
        <x:f>IF(B157="","",ROUND(K157-H157,2))</x:f>
      </x:c>
      <x:c r="M157"/>
      <x:c r="N157" t="str">
        <x:f>IF(B157="","",IF(J157&lt;&gt;"Completed","Not counted",IF(H157&lt;=0,"CHECK TIME","OK")))</x:f>
      </x:c>
    </x:row>
    <x:row r="158">
      <x:c r="A158" t="str">
        <x:f>IF(B158="","",ROW()-1)</x:f>
      </x:c>
      <x:c r="B158" s="24"/>
      <x:c r="C158" t="str">
        <x:f>IF(B158="","",TEXT(B158,"mmm-yyyy"))</x:f>
      </x:c>
      <x:c r="D158" t="str">
        <x:f>IF(B158="","",TEXT(B158,"ddd"))</x:f>
      </x:c>
      <x:c r="E158" s="32"/>
      <x:c r="F158" s="32"/>
      <x:c r="G158"/>
      <x:c r="H158" s="22" t="n">
        <x:f>IF(OR(B158="",J158&lt;&gt;"Completed"),0,IF(AND(ISNUMBER(E158),ISNUMBER(F158)),ROUND(((F158-E158)+(F158&lt;E158))*24-(N(G158)/60),2),0))</x:f>
        <x:v>0</x:v>
      </x:c>
      <x:c r="I158" s="34" t="str">
        <x:f>IF(H158=0,"",H158/24)</x:f>
      </x:c>
      <x:c r="J158"/>
      <x:c r="K158" s="22" t="str">
        <x:f>IF(B158="","",START_HERE!$B$7)</x:f>
      </x:c>
      <x:c r="L158" s="22" t="str">
        <x:f>IF(B158="","",ROUND(K158-H158,2))</x:f>
      </x:c>
      <x:c r="M158"/>
      <x:c r="N158" t="str">
        <x:f>IF(B158="","",IF(J158&lt;&gt;"Completed","Not counted",IF(H158&lt;=0,"CHECK TIME","OK")))</x:f>
      </x:c>
    </x:row>
    <x:row r="159">
      <x:c r="A159" t="str">
        <x:f>IF(B159="","",ROW()-1)</x:f>
      </x:c>
      <x:c r="B159" s="24"/>
      <x:c r="C159" t="str">
        <x:f>IF(B159="","",TEXT(B159,"mmm-yyyy"))</x:f>
      </x:c>
      <x:c r="D159" t="str">
        <x:f>IF(B159="","",TEXT(B159,"ddd"))</x:f>
      </x:c>
      <x:c r="E159" s="32"/>
      <x:c r="F159" s="32"/>
      <x:c r="G159"/>
      <x:c r="H159" s="22" t="n">
        <x:f>IF(OR(B159="",J159&lt;&gt;"Completed"),0,IF(AND(ISNUMBER(E159),ISNUMBER(F159)),ROUND(((F159-E159)+(F159&lt;E159))*24-(N(G159)/60),2),0))</x:f>
        <x:v>0</x:v>
      </x:c>
      <x:c r="I159" s="34" t="str">
        <x:f>IF(H159=0,"",H159/24)</x:f>
      </x:c>
      <x:c r="J159"/>
      <x:c r="K159" s="22" t="str">
        <x:f>IF(B159="","",START_HERE!$B$7)</x:f>
      </x:c>
      <x:c r="L159" s="22" t="str">
        <x:f>IF(B159="","",ROUND(K159-H159,2))</x:f>
      </x:c>
      <x:c r="M159"/>
      <x:c r="N159" t="str">
        <x:f>IF(B159="","",IF(J159&lt;&gt;"Completed","Not counted",IF(H159&lt;=0,"CHECK TIME","OK")))</x:f>
      </x:c>
    </x:row>
    <x:row r="160">
      <x:c r="A160" t="str">
        <x:f>IF(B160="","",ROW()-1)</x:f>
      </x:c>
      <x:c r="B160" s="24"/>
      <x:c r="C160" t="str">
        <x:f>IF(B160="","",TEXT(B160,"mmm-yyyy"))</x:f>
      </x:c>
      <x:c r="D160" t="str">
        <x:f>IF(B160="","",TEXT(B160,"ddd"))</x:f>
      </x:c>
      <x:c r="E160" s="32"/>
      <x:c r="F160" s="32"/>
      <x:c r="G160"/>
      <x:c r="H160" s="22" t="n">
        <x:f>IF(OR(B160="",J160&lt;&gt;"Completed"),0,IF(AND(ISNUMBER(E160),ISNUMBER(F160)),ROUND(((F160-E160)+(F160&lt;E160))*24-(N(G160)/60),2),0))</x:f>
        <x:v>0</x:v>
      </x:c>
      <x:c r="I160" s="34" t="str">
        <x:f>IF(H160=0,"",H160/24)</x:f>
      </x:c>
      <x:c r="J160"/>
      <x:c r="K160" s="22" t="str">
        <x:f>IF(B160="","",START_HERE!$B$7)</x:f>
      </x:c>
      <x:c r="L160" s="22" t="str">
        <x:f>IF(B160="","",ROUND(K160-H160,2))</x:f>
      </x:c>
      <x:c r="M160"/>
      <x:c r="N160" t="str">
        <x:f>IF(B160="","",IF(J160&lt;&gt;"Completed","Not counted",IF(H160&lt;=0,"CHECK TIME","OK")))</x:f>
      </x:c>
    </x:row>
    <x:row r="161">
      <x:c r="A161" t="str">
        <x:f>IF(B161="","",ROW()-1)</x:f>
      </x:c>
      <x:c r="B161" s="24"/>
      <x:c r="C161" t="str">
        <x:f>IF(B161="","",TEXT(B161,"mmm-yyyy"))</x:f>
      </x:c>
      <x:c r="D161" t="str">
        <x:f>IF(B161="","",TEXT(B161,"ddd"))</x:f>
      </x:c>
      <x:c r="E161" s="32"/>
      <x:c r="F161" s="32"/>
      <x:c r="G161"/>
      <x:c r="H161" s="22" t="n">
        <x:f>IF(OR(B161="",J161&lt;&gt;"Completed"),0,IF(AND(ISNUMBER(E161),ISNUMBER(F161)),ROUND(((F161-E161)+(F161&lt;E161))*24-(N(G161)/60),2),0))</x:f>
        <x:v>0</x:v>
      </x:c>
      <x:c r="I161" s="34" t="str">
        <x:f>IF(H161=0,"",H161/24)</x:f>
      </x:c>
      <x:c r="J161"/>
      <x:c r="K161" s="22" t="str">
        <x:f>IF(B161="","",START_HERE!$B$7)</x:f>
      </x:c>
      <x:c r="L161" s="22" t="str">
        <x:f>IF(B161="","",ROUND(K161-H161,2))</x:f>
      </x:c>
      <x:c r="M161"/>
      <x:c r="N161" t="str">
        <x:f>IF(B161="","",IF(J161&lt;&gt;"Completed","Not counted",IF(H161&lt;=0,"CHECK TIME","OK")))</x:f>
      </x:c>
    </x:row>
    <x:row r="162">
      <x:c r="A162" t="str">
        <x:f>IF(B162="","",ROW()-1)</x:f>
      </x:c>
      <x:c r="B162" s="24"/>
      <x:c r="C162" t="str">
        <x:f>IF(B162="","",TEXT(B162,"mmm-yyyy"))</x:f>
      </x:c>
      <x:c r="D162" t="str">
        <x:f>IF(B162="","",TEXT(B162,"ddd"))</x:f>
      </x:c>
      <x:c r="E162" s="32"/>
      <x:c r="F162" s="32"/>
      <x:c r="G162"/>
      <x:c r="H162" s="22" t="n">
        <x:f>IF(OR(B162="",J162&lt;&gt;"Completed"),0,IF(AND(ISNUMBER(E162),ISNUMBER(F162)),ROUND(((F162-E162)+(F162&lt;E162))*24-(N(G162)/60),2),0))</x:f>
        <x:v>0</x:v>
      </x:c>
      <x:c r="I162" s="34" t="str">
        <x:f>IF(H162=0,"",H162/24)</x:f>
      </x:c>
      <x:c r="J162"/>
      <x:c r="K162" s="22" t="str">
        <x:f>IF(B162="","",START_HERE!$B$7)</x:f>
      </x:c>
      <x:c r="L162" s="22" t="str">
        <x:f>IF(B162="","",ROUND(K162-H162,2))</x:f>
      </x:c>
      <x:c r="M162"/>
      <x:c r="N162" t="str">
        <x:f>IF(B162="","",IF(J162&lt;&gt;"Completed","Not counted",IF(H162&lt;=0,"CHECK TIME","OK")))</x:f>
      </x:c>
    </x:row>
    <x:row r="163">
      <x:c r="A163" t="str">
        <x:f>IF(B163="","",ROW()-1)</x:f>
      </x:c>
      <x:c r="B163" s="24"/>
      <x:c r="C163" t="str">
        <x:f>IF(B163="","",TEXT(B163,"mmm-yyyy"))</x:f>
      </x:c>
      <x:c r="D163" t="str">
        <x:f>IF(B163="","",TEXT(B163,"ddd"))</x:f>
      </x:c>
      <x:c r="E163" s="32"/>
      <x:c r="F163" s="32"/>
      <x:c r="G163"/>
      <x:c r="H163" s="22" t="n">
        <x:f>IF(OR(B163="",J163&lt;&gt;"Completed"),0,IF(AND(ISNUMBER(E163),ISNUMBER(F163)),ROUND(((F163-E163)+(F163&lt;E163))*24-(N(G163)/60),2),0))</x:f>
        <x:v>0</x:v>
      </x:c>
      <x:c r="I163" s="34" t="str">
        <x:f>IF(H163=0,"",H163/24)</x:f>
      </x:c>
      <x:c r="J163"/>
      <x:c r="K163" s="22" t="str">
        <x:f>IF(B163="","",START_HERE!$B$7)</x:f>
      </x:c>
      <x:c r="L163" s="22" t="str">
        <x:f>IF(B163="","",ROUND(K163-H163,2))</x:f>
      </x:c>
      <x:c r="M163"/>
      <x:c r="N163" t="str">
        <x:f>IF(B163="","",IF(J163&lt;&gt;"Completed","Not counted",IF(H163&lt;=0,"CHECK TIME","OK")))</x:f>
      </x:c>
    </x:row>
    <x:row r="164">
      <x:c r="A164" t="str">
        <x:f>IF(B164="","",ROW()-1)</x:f>
      </x:c>
      <x:c r="B164" s="24"/>
      <x:c r="C164" t="str">
        <x:f>IF(B164="","",TEXT(B164,"mmm-yyyy"))</x:f>
      </x:c>
      <x:c r="D164" t="str">
        <x:f>IF(B164="","",TEXT(B164,"ddd"))</x:f>
      </x:c>
      <x:c r="E164" s="32"/>
      <x:c r="F164" s="32"/>
      <x:c r="G164"/>
      <x:c r="H164" s="22" t="n">
        <x:f>IF(OR(B164="",J164&lt;&gt;"Completed"),0,IF(AND(ISNUMBER(E164),ISNUMBER(F164)),ROUND(((F164-E164)+(F164&lt;E164))*24-(N(G164)/60),2),0))</x:f>
        <x:v>0</x:v>
      </x:c>
      <x:c r="I164" s="34" t="str">
        <x:f>IF(H164=0,"",H164/24)</x:f>
      </x:c>
      <x:c r="J164"/>
      <x:c r="K164" s="22" t="str">
        <x:f>IF(B164="","",START_HERE!$B$7)</x:f>
      </x:c>
      <x:c r="L164" s="22" t="str">
        <x:f>IF(B164="","",ROUND(K164-H164,2))</x:f>
      </x:c>
      <x:c r="M164"/>
      <x:c r="N164" t="str">
        <x:f>IF(B164="","",IF(J164&lt;&gt;"Completed","Not counted",IF(H164&lt;=0,"CHECK TIME","OK")))</x:f>
      </x:c>
    </x:row>
    <x:row r="165">
      <x:c r="A165" t="str">
        <x:f>IF(B165="","",ROW()-1)</x:f>
      </x:c>
      <x:c r="B165" s="24"/>
      <x:c r="C165" t="str">
        <x:f>IF(B165="","",TEXT(B165,"mmm-yyyy"))</x:f>
      </x:c>
      <x:c r="D165" t="str">
        <x:f>IF(B165="","",TEXT(B165,"ddd"))</x:f>
      </x:c>
      <x:c r="E165" s="32"/>
      <x:c r="F165" s="32"/>
      <x:c r="G165"/>
      <x:c r="H165" s="22" t="n">
        <x:f>IF(OR(B165="",J165&lt;&gt;"Completed"),0,IF(AND(ISNUMBER(E165),ISNUMBER(F165)),ROUND(((F165-E165)+(F165&lt;E165))*24-(N(G165)/60),2),0))</x:f>
        <x:v>0</x:v>
      </x:c>
      <x:c r="I165" s="34" t="str">
        <x:f>IF(H165=0,"",H165/24)</x:f>
      </x:c>
      <x:c r="J165"/>
      <x:c r="K165" s="22" t="str">
        <x:f>IF(B165="","",START_HERE!$B$7)</x:f>
      </x:c>
      <x:c r="L165" s="22" t="str">
        <x:f>IF(B165="","",ROUND(K165-H165,2))</x:f>
      </x:c>
      <x:c r="M165"/>
      <x:c r="N165" t="str">
        <x:f>IF(B165="","",IF(J165&lt;&gt;"Completed","Not counted",IF(H165&lt;=0,"CHECK TIME","OK")))</x:f>
      </x:c>
    </x:row>
    <x:row r="166">
      <x:c r="A166" t="str">
        <x:f>IF(B166="","",ROW()-1)</x:f>
      </x:c>
      <x:c r="B166" s="24"/>
      <x:c r="C166" t="str">
        <x:f>IF(B166="","",TEXT(B166,"mmm-yyyy"))</x:f>
      </x:c>
      <x:c r="D166" t="str">
        <x:f>IF(B166="","",TEXT(B166,"ddd"))</x:f>
      </x:c>
      <x:c r="E166" s="32"/>
      <x:c r="F166" s="32"/>
      <x:c r="G166"/>
      <x:c r="H166" s="22" t="n">
        <x:f>IF(OR(B166="",J166&lt;&gt;"Completed"),0,IF(AND(ISNUMBER(E166),ISNUMBER(F166)),ROUND(((F166-E166)+(F166&lt;E166))*24-(N(G166)/60),2),0))</x:f>
        <x:v>0</x:v>
      </x:c>
      <x:c r="I166" s="34" t="str">
        <x:f>IF(H166=0,"",H166/24)</x:f>
      </x:c>
      <x:c r="J166"/>
      <x:c r="K166" s="22" t="str">
        <x:f>IF(B166="","",START_HERE!$B$7)</x:f>
      </x:c>
      <x:c r="L166" s="22" t="str">
        <x:f>IF(B166="","",ROUND(K166-H166,2))</x:f>
      </x:c>
      <x:c r="M166"/>
      <x:c r="N166" t="str">
        <x:f>IF(B166="","",IF(J166&lt;&gt;"Completed","Not counted",IF(H166&lt;=0,"CHECK TIME","OK")))</x:f>
      </x:c>
    </x:row>
    <x:row r="167">
      <x:c r="A167" t="str">
        <x:f>IF(B167="","",ROW()-1)</x:f>
      </x:c>
      <x:c r="B167" s="24"/>
      <x:c r="C167" t="str">
        <x:f>IF(B167="","",TEXT(B167,"mmm-yyyy"))</x:f>
      </x:c>
      <x:c r="D167" t="str">
        <x:f>IF(B167="","",TEXT(B167,"ddd"))</x:f>
      </x:c>
      <x:c r="E167" s="32"/>
      <x:c r="F167" s="32"/>
      <x:c r="G167"/>
      <x:c r="H167" s="22" t="n">
        <x:f>IF(OR(B167="",J167&lt;&gt;"Completed"),0,IF(AND(ISNUMBER(E167),ISNUMBER(F167)),ROUND(((F167-E167)+(F167&lt;E167))*24-(N(G167)/60),2),0))</x:f>
        <x:v>0</x:v>
      </x:c>
      <x:c r="I167" s="34" t="str">
        <x:f>IF(H167=0,"",H167/24)</x:f>
      </x:c>
      <x:c r="J167"/>
      <x:c r="K167" s="22" t="str">
        <x:f>IF(B167="","",START_HERE!$B$7)</x:f>
      </x:c>
      <x:c r="L167" s="22" t="str">
        <x:f>IF(B167="","",ROUND(K167-H167,2))</x:f>
      </x:c>
      <x:c r="M167"/>
      <x:c r="N167" t="str">
        <x:f>IF(B167="","",IF(J167&lt;&gt;"Completed","Not counted",IF(H167&lt;=0,"CHECK TIME","OK")))</x:f>
      </x:c>
    </x:row>
    <x:row r="168">
      <x:c r="A168" t="str">
        <x:f>IF(B168="","",ROW()-1)</x:f>
      </x:c>
      <x:c r="B168" s="24"/>
      <x:c r="C168" t="str">
        <x:f>IF(B168="","",TEXT(B168,"mmm-yyyy"))</x:f>
      </x:c>
      <x:c r="D168" t="str">
        <x:f>IF(B168="","",TEXT(B168,"ddd"))</x:f>
      </x:c>
      <x:c r="E168" s="32"/>
      <x:c r="F168" s="32"/>
      <x:c r="G168"/>
      <x:c r="H168" s="22" t="n">
        <x:f>IF(OR(B168="",J168&lt;&gt;"Completed"),0,IF(AND(ISNUMBER(E168),ISNUMBER(F168)),ROUND(((F168-E168)+(F168&lt;E168))*24-(N(G168)/60),2),0))</x:f>
        <x:v>0</x:v>
      </x:c>
      <x:c r="I168" s="34" t="str">
        <x:f>IF(H168=0,"",H168/24)</x:f>
      </x:c>
      <x:c r="J168"/>
      <x:c r="K168" s="22" t="str">
        <x:f>IF(B168="","",START_HERE!$B$7)</x:f>
      </x:c>
      <x:c r="L168" s="22" t="str">
        <x:f>IF(B168="","",ROUND(K168-H168,2))</x:f>
      </x:c>
      <x:c r="M168"/>
      <x:c r="N168" t="str">
        <x:f>IF(B168="","",IF(J168&lt;&gt;"Completed","Not counted",IF(H168&lt;=0,"CHECK TIME","OK")))</x:f>
      </x:c>
    </x:row>
    <x:row r="169">
      <x:c r="A169" t="str">
        <x:f>IF(B169="","",ROW()-1)</x:f>
      </x:c>
      <x:c r="B169" s="24"/>
      <x:c r="C169" t="str">
        <x:f>IF(B169="","",TEXT(B169,"mmm-yyyy"))</x:f>
      </x:c>
      <x:c r="D169" t="str">
        <x:f>IF(B169="","",TEXT(B169,"ddd"))</x:f>
      </x:c>
      <x:c r="E169" s="32"/>
      <x:c r="F169" s="32"/>
      <x:c r="G169"/>
      <x:c r="H169" s="22" t="n">
        <x:f>IF(OR(B169="",J169&lt;&gt;"Completed"),0,IF(AND(ISNUMBER(E169),ISNUMBER(F169)),ROUND(((F169-E169)+(F169&lt;E169))*24-(N(G169)/60),2),0))</x:f>
        <x:v>0</x:v>
      </x:c>
      <x:c r="I169" s="34" t="str">
        <x:f>IF(H169=0,"",H169/24)</x:f>
      </x:c>
      <x:c r="J169"/>
      <x:c r="K169" s="22" t="str">
        <x:f>IF(B169="","",START_HERE!$B$7)</x:f>
      </x:c>
      <x:c r="L169" s="22" t="str">
        <x:f>IF(B169="","",ROUND(K169-H169,2))</x:f>
      </x:c>
      <x:c r="M169"/>
      <x:c r="N169" t="str">
        <x:f>IF(B169="","",IF(J169&lt;&gt;"Completed","Not counted",IF(H169&lt;=0,"CHECK TIME","OK")))</x:f>
      </x:c>
    </x:row>
    <x:row r="170">
      <x:c r="A170" t="str">
        <x:f>IF(B170="","",ROW()-1)</x:f>
      </x:c>
      <x:c r="B170" s="24"/>
      <x:c r="C170" t="str">
        <x:f>IF(B170="","",TEXT(B170,"mmm-yyyy"))</x:f>
      </x:c>
      <x:c r="D170" t="str">
        <x:f>IF(B170="","",TEXT(B170,"ddd"))</x:f>
      </x:c>
      <x:c r="E170" s="32"/>
      <x:c r="F170" s="32"/>
      <x:c r="G170"/>
      <x:c r="H170" s="22" t="n">
        <x:f>IF(OR(B170="",J170&lt;&gt;"Completed"),0,IF(AND(ISNUMBER(E170),ISNUMBER(F170)),ROUND(((F170-E170)+(F170&lt;E170))*24-(N(G170)/60),2),0))</x:f>
        <x:v>0</x:v>
      </x:c>
      <x:c r="I170" s="34" t="str">
        <x:f>IF(H170=0,"",H170/24)</x:f>
      </x:c>
      <x:c r="J170"/>
      <x:c r="K170" s="22" t="str">
        <x:f>IF(B170="","",START_HERE!$B$7)</x:f>
      </x:c>
      <x:c r="L170" s="22" t="str">
        <x:f>IF(B170="","",ROUND(K170-H170,2))</x:f>
      </x:c>
      <x:c r="M170"/>
      <x:c r="N170" t="str">
        <x:f>IF(B170="","",IF(J170&lt;&gt;"Completed","Not counted",IF(H170&lt;=0,"CHECK TIME","OK")))</x:f>
      </x:c>
    </x:row>
    <x:row r="171">
      <x:c r="A171" t="str">
        <x:f>IF(B171="","",ROW()-1)</x:f>
      </x:c>
      <x:c r="B171" s="24"/>
      <x:c r="C171" t="str">
        <x:f>IF(B171="","",TEXT(B171,"mmm-yyyy"))</x:f>
      </x:c>
      <x:c r="D171" t="str">
        <x:f>IF(B171="","",TEXT(B171,"ddd"))</x:f>
      </x:c>
      <x:c r="E171" s="32"/>
      <x:c r="F171" s="32"/>
      <x:c r="G171"/>
      <x:c r="H171" s="22" t="n">
        <x:f>IF(OR(B171="",J171&lt;&gt;"Completed"),0,IF(AND(ISNUMBER(E171),ISNUMBER(F171)),ROUND(((F171-E171)+(F171&lt;E171))*24-(N(G171)/60),2),0))</x:f>
        <x:v>0</x:v>
      </x:c>
      <x:c r="I171" s="34" t="str">
        <x:f>IF(H171=0,"",H171/24)</x:f>
      </x:c>
      <x:c r="J171"/>
      <x:c r="K171" s="22" t="str">
        <x:f>IF(B171="","",START_HERE!$B$7)</x:f>
      </x:c>
      <x:c r="L171" s="22" t="str">
        <x:f>IF(B171="","",ROUND(K171-H171,2))</x:f>
      </x:c>
      <x:c r="M171"/>
      <x:c r="N171" t="str">
        <x:f>IF(B171="","",IF(J171&lt;&gt;"Completed","Not counted",IF(H171&lt;=0,"CHECK TIME","OK")))</x:f>
      </x:c>
    </x:row>
    <x:row r="172">
      <x:c r="A172" t="str">
        <x:f>IF(B172="","",ROW()-1)</x:f>
      </x:c>
      <x:c r="B172" s="24"/>
      <x:c r="C172" t="str">
        <x:f>IF(B172="","",TEXT(B172,"mmm-yyyy"))</x:f>
      </x:c>
      <x:c r="D172" t="str">
        <x:f>IF(B172="","",TEXT(B172,"ddd"))</x:f>
      </x:c>
      <x:c r="E172" s="32"/>
      <x:c r="F172" s="32"/>
      <x:c r="G172"/>
      <x:c r="H172" s="22" t="n">
        <x:f>IF(OR(B172="",J172&lt;&gt;"Completed"),0,IF(AND(ISNUMBER(E172),ISNUMBER(F172)),ROUND(((F172-E172)+(F172&lt;E172))*24-(N(G172)/60),2),0))</x:f>
        <x:v>0</x:v>
      </x:c>
      <x:c r="I172" s="34" t="str">
        <x:f>IF(H172=0,"",H172/24)</x:f>
      </x:c>
      <x:c r="J172"/>
      <x:c r="K172" s="22" t="str">
        <x:f>IF(B172="","",START_HERE!$B$7)</x:f>
      </x:c>
      <x:c r="L172" s="22" t="str">
        <x:f>IF(B172="","",ROUND(K172-H172,2))</x:f>
      </x:c>
      <x:c r="M172"/>
      <x:c r="N172" t="str">
        <x:f>IF(B172="","",IF(J172&lt;&gt;"Completed","Not counted",IF(H172&lt;=0,"CHECK TIME","OK")))</x:f>
      </x:c>
    </x:row>
    <x:row r="173">
      <x:c r="A173" t="str">
        <x:f>IF(B173="","",ROW()-1)</x:f>
      </x:c>
      <x:c r="B173" s="24"/>
      <x:c r="C173" t="str">
        <x:f>IF(B173="","",TEXT(B173,"mmm-yyyy"))</x:f>
      </x:c>
      <x:c r="D173" t="str">
        <x:f>IF(B173="","",TEXT(B173,"ddd"))</x:f>
      </x:c>
      <x:c r="E173" s="32"/>
      <x:c r="F173" s="32"/>
      <x:c r="G173"/>
      <x:c r="H173" s="22" t="n">
        <x:f>IF(OR(B173="",J173&lt;&gt;"Completed"),0,IF(AND(ISNUMBER(E173),ISNUMBER(F173)),ROUND(((F173-E173)+(F173&lt;E173))*24-(N(G173)/60),2),0))</x:f>
        <x:v>0</x:v>
      </x:c>
      <x:c r="I173" s="34" t="str">
        <x:f>IF(H173=0,"",H173/24)</x:f>
      </x:c>
      <x:c r="J173"/>
      <x:c r="K173" s="22" t="str">
        <x:f>IF(B173="","",START_HERE!$B$7)</x:f>
      </x:c>
      <x:c r="L173" s="22" t="str">
        <x:f>IF(B173="","",ROUND(K173-H173,2))</x:f>
      </x:c>
      <x:c r="M173"/>
      <x:c r="N173" t="str">
        <x:f>IF(B173="","",IF(J173&lt;&gt;"Completed","Not counted",IF(H173&lt;=0,"CHECK TIME","OK")))</x:f>
      </x:c>
    </x:row>
    <x:row r="174">
      <x:c r="A174" t="str">
        <x:f>IF(B174="","",ROW()-1)</x:f>
      </x:c>
      <x:c r="B174" s="24"/>
      <x:c r="C174" t="str">
        <x:f>IF(B174="","",TEXT(B174,"mmm-yyyy"))</x:f>
      </x:c>
      <x:c r="D174" t="str">
        <x:f>IF(B174="","",TEXT(B174,"ddd"))</x:f>
      </x:c>
      <x:c r="E174" s="32"/>
      <x:c r="F174" s="32"/>
      <x:c r="G174"/>
      <x:c r="H174" s="22" t="n">
        <x:f>IF(OR(B174="",J174&lt;&gt;"Completed"),0,IF(AND(ISNUMBER(E174),ISNUMBER(F174)),ROUND(((F174-E174)+(F174&lt;E174))*24-(N(G174)/60),2),0))</x:f>
        <x:v>0</x:v>
      </x:c>
      <x:c r="I174" s="34" t="str">
        <x:f>IF(H174=0,"",H174/24)</x:f>
      </x:c>
      <x:c r="J174"/>
      <x:c r="K174" s="22" t="str">
        <x:f>IF(B174="","",START_HERE!$B$7)</x:f>
      </x:c>
      <x:c r="L174" s="22" t="str">
        <x:f>IF(B174="","",ROUND(K174-H174,2))</x:f>
      </x:c>
      <x:c r="M174"/>
      <x:c r="N174" t="str">
        <x:f>IF(B174="","",IF(J174&lt;&gt;"Completed","Not counted",IF(H174&lt;=0,"CHECK TIME","OK")))</x:f>
      </x:c>
    </x:row>
    <x:row r="175">
      <x:c r="A175" t="str">
        <x:f>IF(B175="","",ROW()-1)</x:f>
      </x:c>
      <x:c r="B175" s="24"/>
      <x:c r="C175" t="str">
        <x:f>IF(B175="","",TEXT(B175,"mmm-yyyy"))</x:f>
      </x:c>
      <x:c r="D175" t="str">
        <x:f>IF(B175="","",TEXT(B175,"ddd"))</x:f>
      </x:c>
      <x:c r="E175" s="32"/>
      <x:c r="F175" s="32"/>
      <x:c r="G175"/>
      <x:c r="H175" s="22" t="n">
        <x:f>IF(OR(B175="",J175&lt;&gt;"Completed"),0,IF(AND(ISNUMBER(E175),ISNUMBER(F175)),ROUND(((F175-E175)+(F175&lt;E175))*24-(N(G175)/60),2),0))</x:f>
        <x:v>0</x:v>
      </x:c>
      <x:c r="I175" s="34" t="str">
        <x:f>IF(H175=0,"",H175/24)</x:f>
      </x:c>
      <x:c r="J175"/>
      <x:c r="K175" s="22" t="str">
        <x:f>IF(B175="","",START_HERE!$B$7)</x:f>
      </x:c>
      <x:c r="L175" s="22" t="str">
        <x:f>IF(B175="","",ROUND(K175-H175,2))</x:f>
      </x:c>
      <x:c r="M175"/>
      <x:c r="N175" t="str">
        <x:f>IF(B175="","",IF(J175&lt;&gt;"Completed","Not counted",IF(H175&lt;=0,"CHECK TIME","OK")))</x:f>
      </x:c>
    </x:row>
    <x:row r="176">
      <x:c r="A176" t="str">
        <x:f>IF(B176="","",ROW()-1)</x:f>
      </x:c>
      <x:c r="B176" s="24"/>
      <x:c r="C176" t="str">
        <x:f>IF(B176="","",TEXT(B176,"mmm-yyyy"))</x:f>
      </x:c>
      <x:c r="D176" t="str">
        <x:f>IF(B176="","",TEXT(B176,"ddd"))</x:f>
      </x:c>
      <x:c r="E176" s="32"/>
      <x:c r="F176" s="32"/>
      <x:c r="G176"/>
      <x:c r="H176" s="22" t="n">
        <x:f>IF(OR(B176="",J176&lt;&gt;"Completed"),0,IF(AND(ISNUMBER(E176),ISNUMBER(F176)),ROUND(((F176-E176)+(F176&lt;E176))*24-(N(G176)/60),2),0))</x:f>
        <x:v>0</x:v>
      </x:c>
      <x:c r="I176" s="34" t="str">
        <x:f>IF(H176=0,"",H176/24)</x:f>
      </x:c>
      <x:c r="J176"/>
      <x:c r="K176" s="22" t="str">
        <x:f>IF(B176="","",START_HERE!$B$7)</x:f>
      </x:c>
      <x:c r="L176" s="22" t="str">
        <x:f>IF(B176="","",ROUND(K176-H176,2))</x:f>
      </x:c>
      <x:c r="M176"/>
      <x:c r="N176" t="str">
        <x:f>IF(B176="","",IF(J176&lt;&gt;"Completed","Not counted",IF(H176&lt;=0,"CHECK TIME","OK")))</x:f>
      </x:c>
    </x:row>
    <x:row r="177">
      <x:c r="A177" t="str">
        <x:f>IF(B177="","",ROW()-1)</x:f>
      </x:c>
      <x:c r="B177" s="24"/>
      <x:c r="C177" t="str">
        <x:f>IF(B177="","",TEXT(B177,"mmm-yyyy"))</x:f>
      </x:c>
      <x:c r="D177" t="str">
        <x:f>IF(B177="","",TEXT(B177,"ddd"))</x:f>
      </x:c>
      <x:c r="E177" s="32"/>
      <x:c r="F177" s="32"/>
      <x:c r="G177"/>
      <x:c r="H177" s="22" t="n">
        <x:f>IF(OR(B177="",J177&lt;&gt;"Completed"),0,IF(AND(ISNUMBER(E177),ISNUMBER(F177)),ROUND(((F177-E177)+(F177&lt;E177))*24-(N(G177)/60),2),0))</x:f>
        <x:v>0</x:v>
      </x:c>
      <x:c r="I177" s="34" t="str">
        <x:f>IF(H177=0,"",H177/24)</x:f>
      </x:c>
      <x:c r="J177"/>
      <x:c r="K177" s="22" t="str">
        <x:f>IF(B177="","",START_HERE!$B$7)</x:f>
      </x:c>
      <x:c r="L177" s="22" t="str">
        <x:f>IF(B177="","",ROUND(K177-H177,2))</x:f>
      </x:c>
      <x:c r="M177"/>
      <x:c r="N177" t="str">
        <x:f>IF(B177="","",IF(J177&lt;&gt;"Completed","Not counted",IF(H177&lt;=0,"CHECK TIME","OK")))</x:f>
      </x:c>
    </x:row>
    <x:row r="178">
      <x:c r="A178" t="str">
        <x:f>IF(B178="","",ROW()-1)</x:f>
      </x:c>
      <x:c r="B178" s="24"/>
      <x:c r="C178" t="str">
        <x:f>IF(B178="","",TEXT(B178,"mmm-yyyy"))</x:f>
      </x:c>
      <x:c r="D178" t="str">
        <x:f>IF(B178="","",TEXT(B178,"ddd"))</x:f>
      </x:c>
      <x:c r="E178" s="32"/>
      <x:c r="F178" s="32"/>
      <x:c r="G178"/>
      <x:c r="H178" s="22" t="n">
        <x:f>IF(OR(B178="",J178&lt;&gt;"Completed"),0,IF(AND(ISNUMBER(E178),ISNUMBER(F178)),ROUND(((F178-E178)+(F178&lt;E178))*24-(N(G178)/60),2),0))</x:f>
        <x:v>0</x:v>
      </x:c>
      <x:c r="I178" s="34" t="str">
        <x:f>IF(H178=0,"",H178/24)</x:f>
      </x:c>
      <x:c r="J178"/>
      <x:c r="K178" s="22" t="str">
        <x:f>IF(B178="","",START_HERE!$B$7)</x:f>
      </x:c>
      <x:c r="L178" s="22" t="str">
        <x:f>IF(B178="","",ROUND(K178-H178,2))</x:f>
      </x:c>
      <x:c r="M178"/>
      <x:c r="N178" t="str">
        <x:f>IF(B178="","",IF(J178&lt;&gt;"Completed","Not counted",IF(H178&lt;=0,"CHECK TIME","OK")))</x:f>
      </x:c>
    </x:row>
    <x:row r="179">
      <x:c r="A179" t="str">
        <x:f>IF(B179="","",ROW()-1)</x:f>
      </x:c>
      <x:c r="B179" s="24"/>
      <x:c r="C179" t="str">
        <x:f>IF(B179="","",TEXT(B179,"mmm-yyyy"))</x:f>
      </x:c>
      <x:c r="D179" t="str">
        <x:f>IF(B179="","",TEXT(B179,"ddd"))</x:f>
      </x:c>
      <x:c r="E179" s="32"/>
      <x:c r="F179" s="32"/>
      <x:c r="G179"/>
      <x:c r="H179" s="22" t="n">
        <x:f>IF(OR(B179="",J179&lt;&gt;"Completed"),0,IF(AND(ISNUMBER(E179),ISNUMBER(F179)),ROUND(((F179-E179)+(F179&lt;E179))*24-(N(G179)/60),2),0))</x:f>
        <x:v>0</x:v>
      </x:c>
      <x:c r="I179" s="34" t="str">
        <x:f>IF(H179=0,"",H179/24)</x:f>
      </x:c>
      <x:c r="J179"/>
      <x:c r="K179" s="22" t="str">
        <x:f>IF(B179="","",START_HERE!$B$7)</x:f>
      </x:c>
      <x:c r="L179" s="22" t="str">
        <x:f>IF(B179="","",ROUND(K179-H179,2))</x:f>
      </x:c>
      <x:c r="M179"/>
      <x:c r="N179" t="str">
        <x:f>IF(B179="","",IF(J179&lt;&gt;"Completed","Not counted",IF(H179&lt;=0,"CHECK TIME","OK")))</x:f>
      </x:c>
    </x:row>
    <x:row r="180">
      <x:c r="A180" t="str">
        <x:f>IF(B180="","",ROW()-1)</x:f>
      </x:c>
      <x:c r="B180" s="24"/>
      <x:c r="C180" t="str">
        <x:f>IF(B180="","",TEXT(B180,"mmm-yyyy"))</x:f>
      </x:c>
      <x:c r="D180" t="str">
        <x:f>IF(B180="","",TEXT(B180,"ddd"))</x:f>
      </x:c>
      <x:c r="E180" s="32"/>
      <x:c r="F180" s="32"/>
      <x:c r="G180"/>
      <x:c r="H180" s="22" t="n">
        <x:f>IF(OR(B180="",J180&lt;&gt;"Completed"),0,IF(AND(ISNUMBER(E180),ISNUMBER(F180)),ROUND(((F180-E180)+(F180&lt;E180))*24-(N(G180)/60),2),0))</x:f>
        <x:v>0</x:v>
      </x:c>
      <x:c r="I180" s="34" t="str">
        <x:f>IF(H180=0,"",H180/24)</x:f>
      </x:c>
      <x:c r="J180"/>
      <x:c r="K180" s="22" t="str">
        <x:f>IF(B180="","",START_HERE!$B$7)</x:f>
      </x:c>
      <x:c r="L180" s="22" t="str">
        <x:f>IF(B180="","",ROUND(K180-H180,2))</x:f>
      </x:c>
      <x:c r="M180"/>
      <x:c r="N180" t="str">
        <x:f>IF(B180="","",IF(J180&lt;&gt;"Completed","Not counted",IF(H180&lt;=0,"CHECK TIME","OK")))</x:f>
      </x:c>
    </x:row>
    <x:row r="181">
      <x:c r="A181" t="str">
        <x:f>IF(B181="","",ROW()-1)</x:f>
      </x:c>
      <x:c r="B181" s="24"/>
      <x:c r="C181" t="str">
        <x:f>IF(B181="","",TEXT(B181,"mmm-yyyy"))</x:f>
      </x:c>
      <x:c r="D181" t="str">
        <x:f>IF(B181="","",TEXT(B181,"ddd"))</x:f>
      </x:c>
      <x:c r="E181" s="32"/>
      <x:c r="F181" s="32"/>
      <x:c r="G181"/>
      <x:c r="H181" s="22" t="n">
        <x:f>IF(OR(B181="",J181&lt;&gt;"Completed"),0,IF(AND(ISNUMBER(E181),ISNUMBER(F181)),ROUND(((F181-E181)+(F181&lt;E181))*24-(N(G181)/60),2),0))</x:f>
        <x:v>0</x:v>
      </x:c>
      <x:c r="I181" s="34" t="str">
        <x:f>IF(H181=0,"",H181/24)</x:f>
      </x:c>
      <x:c r="J181"/>
      <x:c r="K181" s="22" t="str">
        <x:f>IF(B181="","",START_HERE!$B$7)</x:f>
      </x:c>
      <x:c r="L181" s="22" t="str">
        <x:f>IF(B181="","",ROUND(K181-H181,2))</x:f>
      </x:c>
      <x:c r="M181"/>
      <x:c r="N181" t="str">
        <x:f>IF(B181="","",IF(J181&lt;&gt;"Completed","Not counted",IF(H181&lt;=0,"CHECK TIME","OK")))</x:f>
      </x:c>
    </x:row>
    <x:row r="182">
      <x:c r="A182" t="str">
        <x:f>IF(B182="","",ROW()-1)</x:f>
      </x:c>
      <x:c r="B182" s="24"/>
      <x:c r="C182" t="str">
        <x:f>IF(B182="","",TEXT(B182,"mmm-yyyy"))</x:f>
      </x:c>
      <x:c r="D182" t="str">
        <x:f>IF(B182="","",TEXT(B182,"ddd"))</x:f>
      </x:c>
      <x:c r="E182" s="32"/>
      <x:c r="F182" s="32"/>
      <x:c r="G182"/>
      <x:c r="H182" s="22" t="n">
        <x:f>IF(OR(B182="",J182&lt;&gt;"Completed"),0,IF(AND(ISNUMBER(E182),ISNUMBER(F182)),ROUND(((F182-E182)+(F182&lt;E182))*24-(N(G182)/60),2),0))</x:f>
        <x:v>0</x:v>
      </x:c>
      <x:c r="I182" s="34" t="str">
        <x:f>IF(H182=0,"",H182/24)</x:f>
      </x:c>
      <x:c r="J182"/>
      <x:c r="K182" s="22" t="str">
        <x:f>IF(B182="","",START_HERE!$B$7)</x:f>
      </x:c>
      <x:c r="L182" s="22" t="str">
        <x:f>IF(B182="","",ROUND(K182-H182,2))</x:f>
      </x:c>
      <x:c r="M182"/>
      <x:c r="N182" t="str">
        <x:f>IF(B182="","",IF(J182&lt;&gt;"Completed","Not counted",IF(H182&lt;=0,"CHECK TIME","OK")))</x:f>
      </x:c>
    </x:row>
    <x:row r="183">
      <x:c r="A183" t="str">
        <x:f>IF(B183="","",ROW()-1)</x:f>
      </x:c>
      <x:c r="B183" s="24"/>
      <x:c r="C183" t="str">
        <x:f>IF(B183="","",TEXT(B183,"mmm-yyyy"))</x:f>
      </x:c>
      <x:c r="D183" t="str">
        <x:f>IF(B183="","",TEXT(B183,"ddd"))</x:f>
      </x:c>
      <x:c r="E183" s="32"/>
      <x:c r="F183" s="32"/>
      <x:c r="G183"/>
      <x:c r="H183" s="22" t="n">
        <x:f>IF(OR(B183="",J183&lt;&gt;"Completed"),0,IF(AND(ISNUMBER(E183),ISNUMBER(F183)),ROUND(((F183-E183)+(F183&lt;E183))*24-(N(G183)/60),2),0))</x:f>
        <x:v>0</x:v>
      </x:c>
      <x:c r="I183" s="34" t="str">
        <x:f>IF(H183=0,"",H183/24)</x:f>
      </x:c>
      <x:c r="J183"/>
      <x:c r="K183" s="22" t="str">
        <x:f>IF(B183="","",START_HERE!$B$7)</x:f>
      </x:c>
      <x:c r="L183" s="22" t="str">
        <x:f>IF(B183="","",ROUND(K183-H183,2))</x:f>
      </x:c>
      <x:c r="M183"/>
      <x:c r="N183" t="str">
        <x:f>IF(B183="","",IF(J183&lt;&gt;"Completed","Not counted",IF(H183&lt;=0,"CHECK TIME","OK")))</x:f>
      </x:c>
    </x:row>
    <x:row r="184">
      <x:c r="A184" t="str">
        <x:f>IF(B184="","",ROW()-1)</x:f>
      </x:c>
      <x:c r="B184" s="24"/>
      <x:c r="C184" t="str">
        <x:f>IF(B184="","",TEXT(B184,"mmm-yyyy"))</x:f>
      </x:c>
      <x:c r="D184" t="str">
        <x:f>IF(B184="","",TEXT(B184,"ddd"))</x:f>
      </x:c>
      <x:c r="E184" s="32"/>
      <x:c r="F184" s="32"/>
      <x:c r="G184"/>
      <x:c r="H184" s="22" t="n">
        <x:f>IF(OR(B184="",J184&lt;&gt;"Completed"),0,IF(AND(ISNUMBER(E184),ISNUMBER(F184)),ROUND(((F184-E184)+(F184&lt;E184))*24-(N(G184)/60),2),0))</x:f>
        <x:v>0</x:v>
      </x:c>
      <x:c r="I184" s="34" t="str">
        <x:f>IF(H184=0,"",H184/24)</x:f>
      </x:c>
      <x:c r="J184"/>
      <x:c r="K184" s="22" t="str">
        <x:f>IF(B184="","",START_HERE!$B$7)</x:f>
      </x:c>
      <x:c r="L184" s="22" t="str">
        <x:f>IF(B184="","",ROUND(K184-H184,2))</x:f>
      </x:c>
      <x:c r="M184"/>
      <x:c r="N184" t="str">
        <x:f>IF(B184="","",IF(J184&lt;&gt;"Completed","Not counted",IF(H184&lt;=0,"CHECK TIME","OK")))</x:f>
      </x:c>
    </x:row>
    <x:row r="185">
      <x:c r="A185" t="str">
        <x:f>IF(B185="","",ROW()-1)</x:f>
      </x:c>
      <x:c r="B185" s="24"/>
      <x:c r="C185" t="str">
        <x:f>IF(B185="","",TEXT(B185,"mmm-yyyy"))</x:f>
      </x:c>
      <x:c r="D185" t="str">
        <x:f>IF(B185="","",TEXT(B185,"ddd"))</x:f>
      </x:c>
      <x:c r="E185" s="32"/>
      <x:c r="F185" s="32"/>
      <x:c r="G185"/>
      <x:c r="H185" s="22" t="n">
        <x:f>IF(OR(B185="",J185&lt;&gt;"Completed"),0,IF(AND(ISNUMBER(E185),ISNUMBER(F185)),ROUND(((F185-E185)+(F185&lt;E185))*24-(N(G185)/60),2),0))</x:f>
        <x:v>0</x:v>
      </x:c>
      <x:c r="I185" s="34" t="str">
        <x:f>IF(H185=0,"",H185/24)</x:f>
      </x:c>
      <x:c r="J185"/>
      <x:c r="K185" s="22" t="str">
        <x:f>IF(B185="","",START_HERE!$B$7)</x:f>
      </x:c>
      <x:c r="L185" s="22" t="str">
        <x:f>IF(B185="","",ROUND(K185-H185,2))</x:f>
      </x:c>
      <x:c r="M185"/>
      <x:c r="N185" t="str">
        <x:f>IF(B185="","",IF(J185&lt;&gt;"Completed","Not counted",IF(H185&lt;=0,"CHECK TIME","OK")))</x:f>
      </x:c>
    </x:row>
    <x:row r="186">
      <x:c r="A186" t="str">
        <x:f>IF(B186="","",ROW()-1)</x:f>
      </x:c>
      <x:c r="B186" s="24"/>
      <x:c r="C186" t="str">
        <x:f>IF(B186="","",TEXT(B186,"mmm-yyyy"))</x:f>
      </x:c>
      <x:c r="D186" t="str">
        <x:f>IF(B186="","",TEXT(B186,"ddd"))</x:f>
      </x:c>
      <x:c r="E186" s="32"/>
      <x:c r="F186" s="32"/>
      <x:c r="G186"/>
      <x:c r="H186" s="22" t="n">
        <x:f>IF(OR(B186="",J186&lt;&gt;"Completed"),0,IF(AND(ISNUMBER(E186),ISNUMBER(F186)),ROUND(((F186-E186)+(F186&lt;E186))*24-(N(G186)/60),2),0))</x:f>
        <x:v>0</x:v>
      </x:c>
      <x:c r="I186" s="34" t="str">
        <x:f>IF(H186=0,"",H186/24)</x:f>
      </x:c>
      <x:c r="J186"/>
      <x:c r="K186" s="22" t="str">
        <x:f>IF(B186="","",START_HERE!$B$7)</x:f>
      </x:c>
      <x:c r="L186" s="22" t="str">
        <x:f>IF(B186="","",ROUND(K186-H186,2))</x:f>
      </x:c>
      <x:c r="M186"/>
      <x:c r="N186" t="str">
        <x:f>IF(B186="","",IF(J186&lt;&gt;"Completed","Not counted",IF(H186&lt;=0,"CHECK TIME","OK")))</x:f>
      </x:c>
    </x:row>
    <x:row r="187">
      <x:c r="A187" t="str">
        <x:f>IF(B187="","",ROW()-1)</x:f>
      </x:c>
      <x:c r="B187" s="24"/>
      <x:c r="C187" t="str">
        <x:f>IF(B187="","",TEXT(B187,"mmm-yyyy"))</x:f>
      </x:c>
      <x:c r="D187" t="str">
        <x:f>IF(B187="","",TEXT(B187,"ddd"))</x:f>
      </x:c>
      <x:c r="E187" s="32"/>
      <x:c r="F187" s="32"/>
      <x:c r="G187"/>
      <x:c r="H187" s="22" t="n">
        <x:f>IF(OR(B187="",J187&lt;&gt;"Completed"),0,IF(AND(ISNUMBER(E187),ISNUMBER(F187)),ROUND(((F187-E187)+(F187&lt;E187))*24-(N(G187)/60),2),0))</x:f>
        <x:v>0</x:v>
      </x:c>
      <x:c r="I187" s="34" t="str">
        <x:f>IF(H187=0,"",H187/24)</x:f>
      </x:c>
      <x:c r="J187"/>
      <x:c r="K187" s="22" t="str">
        <x:f>IF(B187="","",START_HERE!$B$7)</x:f>
      </x:c>
      <x:c r="L187" s="22" t="str">
        <x:f>IF(B187="","",ROUND(K187-H187,2))</x:f>
      </x:c>
      <x:c r="M187"/>
      <x:c r="N187" t="str">
        <x:f>IF(B187="","",IF(J187&lt;&gt;"Completed","Not counted",IF(H187&lt;=0,"CHECK TIME","OK")))</x:f>
      </x:c>
    </x:row>
    <x:row r="188">
      <x:c r="A188" t="str">
        <x:f>IF(B188="","",ROW()-1)</x:f>
      </x:c>
      <x:c r="B188" s="24"/>
      <x:c r="C188" t="str">
        <x:f>IF(B188="","",TEXT(B188,"mmm-yyyy"))</x:f>
      </x:c>
      <x:c r="D188" t="str">
        <x:f>IF(B188="","",TEXT(B188,"ddd"))</x:f>
      </x:c>
      <x:c r="E188" s="32"/>
      <x:c r="F188" s="32"/>
      <x:c r="G188"/>
      <x:c r="H188" s="22" t="n">
        <x:f>IF(OR(B188="",J188&lt;&gt;"Completed"),0,IF(AND(ISNUMBER(E188),ISNUMBER(F188)),ROUND(((F188-E188)+(F188&lt;E188))*24-(N(G188)/60),2),0))</x:f>
        <x:v>0</x:v>
      </x:c>
      <x:c r="I188" s="34" t="str">
        <x:f>IF(H188=0,"",H188/24)</x:f>
      </x:c>
      <x:c r="J188"/>
      <x:c r="K188" s="22" t="str">
        <x:f>IF(B188="","",START_HERE!$B$7)</x:f>
      </x:c>
      <x:c r="L188" s="22" t="str">
        <x:f>IF(B188="","",ROUND(K188-H188,2))</x:f>
      </x:c>
      <x:c r="M188"/>
      <x:c r="N188" t="str">
        <x:f>IF(B188="","",IF(J188&lt;&gt;"Completed","Not counted",IF(H188&lt;=0,"CHECK TIME","OK")))</x:f>
      </x:c>
    </x:row>
    <x:row r="189">
      <x:c r="A189" t="str">
        <x:f>IF(B189="","",ROW()-1)</x:f>
      </x:c>
      <x:c r="B189" s="24"/>
      <x:c r="C189" t="str">
        <x:f>IF(B189="","",TEXT(B189,"mmm-yyyy"))</x:f>
      </x:c>
      <x:c r="D189" t="str">
        <x:f>IF(B189="","",TEXT(B189,"ddd"))</x:f>
      </x:c>
      <x:c r="E189" s="32"/>
      <x:c r="F189" s="32"/>
      <x:c r="G189"/>
      <x:c r="H189" s="22" t="n">
        <x:f>IF(OR(B189="",J189&lt;&gt;"Completed"),0,IF(AND(ISNUMBER(E189),ISNUMBER(F189)),ROUND(((F189-E189)+(F189&lt;E189))*24-(N(G189)/60),2),0))</x:f>
        <x:v>0</x:v>
      </x:c>
      <x:c r="I189" s="34" t="str">
        <x:f>IF(H189=0,"",H189/24)</x:f>
      </x:c>
      <x:c r="J189"/>
      <x:c r="K189" s="22" t="str">
        <x:f>IF(B189="","",START_HERE!$B$7)</x:f>
      </x:c>
      <x:c r="L189" s="22" t="str">
        <x:f>IF(B189="","",ROUND(K189-H189,2))</x:f>
      </x:c>
      <x:c r="M189"/>
      <x:c r="N189" t="str">
        <x:f>IF(B189="","",IF(J189&lt;&gt;"Completed","Not counted",IF(H189&lt;=0,"CHECK TIME","OK")))</x:f>
      </x:c>
    </x:row>
    <x:row r="190">
      <x:c r="A190" t="str">
        <x:f>IF(B190="","",ROW()-1)</x:f>
      </x:c>
      <x:c r="B190" s="24"/>
      <x:c r="C190" t="str">
        <x:f>IF(B190="","",TEXT(B190,"mmm-yyyy"))</x:f>
      </x:c>
      <x:c r="D190" t="str">
        <x:f>IF(B190="","",TEXT(B190,"ddd"))</x:f>
      </x:c>
      <x:c r="E190" s="32"/>
      <x:c r="F190" s="32"/>
      <x:c r="G190"/>
      <x:c r="H190" s="22" t="n">
        <x:f>IF(OR(B190="",J190&lt;&gt;"Completed"),0,IF(AND(ISNUMBER(E190),ISNUMBER(F190)),ROUND(((F190-E190)+(F190&lt;E190))*24-(N(G190)/60),2),0))</x:f>
        <x:v>0</x:v>
      </x:c>
      <x:c r="I190" s="34" t="str">
        <x:f>IF(H190=0,"",H190/24)</x:f>
      </x:c>
      <x:c r="J190"/>
      <x:c r="K190" s="22" t="str">
        <x:f>IF(B190="","",START_HERE!$B$7)</x:f>
      </x:c>
      <x:c r="L190" s="22" t="str">
        <x:f>IF(B190="","",ROUND(K190-H190,2))</x:f>
      </x:c>
      <x:c r="M190"/>
      <x:c r="N190" t="str">
        <x:f>IF(B190="","",IF(J190&lt;&gt;"Completed","Not counted",IF(H190&lt;=0,"CHECK TIME","OK")))</x:f>
      </x:c>
    </x:row>
    <x:row r="191">
      <x:c r="A191" t="str">
        <x:f>IF(B191="","",ROW()-1)</x:f>
      </x:c>
      <x:c r="B191" s="24"/>
      <x:c r="C191" t="str">
        <x:f>IF(B191="","",TEXT(B191,"mmm-yyyy"))</x:f>
      </x:c>
      <x:c r="D191" t="str">
        <x:f>IF(B191="","",TEXT(B191,"ddd"))</x:f>
      </x:c>
      <x:c r="E191" s="32"/>
      <x:c r="F191" s="32"/>
      <x:c r="G191"/>
      <x:c r="H191" s="22" t="n">
        <x:f>IF(OR(B191="",J191&lt;&gt;"Completed"),0,IF(AND(ISNUMBER(E191),ISNUMBER(F191)),ROUND(((F191-E191)+(F191&lt;E191))*24-(N(G191)/60),2),0))</x:f>
        <x:v>0</x:v>
      </x:c>
      <x:c r="I191" s="34" t="str">
        <x:f>IF(H191=0,"",H191/24)</x:f>
      </x:c>
      <x:c r="J191"/>
      <x:c r="K191" s="22" t="str">
        <x:f>IF(B191="","",START_HERE!$B$7)</x:f>
      </x:c>
      <x:c r="L191" s="22" t="str">
        <x:f>IF(B191="","",ROUND(K191-H191,2))</x:f>
      </x:c>
      <x:c r="M191"/>
      <x:c r="N191" t="str">
        <x:f>IF(B191="","",IF(J191&lt;&gt;"Completed","Not counted",IF(H191&lt;=0,"CHECK TIME","OK")))</x:f>
      </x:c>
    </x:row>
    <x:row r="192">
      <x:c r="A192" t="str">
        <x:f>IF(B192="","",ROW()-1)</x:f>
      </x:c>
      <x:c r="B192" s="24"/>
      <x:c r="C192" t="str">
        <x:f>IF(B192="","",TEXT(B192,"mmm-yyyy"))</x:f>
      </x:c>
      <x:c r="D192" t="str">
        <x:f>IF(B192="","",TEXT(B192,"ddd"))</x:f>
      </x:c>
      <x:c r="E192" s="32"/>
      <x:c r="F192" s="32"/>
      <x:c r="G192"/>
      <x:c r="H192" s="22" t="n">
        <x:f>IF(OR(B192="",J192&lt;&gt;"Completed"),0,IF(AND(ISNUMBER(E192),ISNUMBER(F192)),ROUND(((F192-E192)+(F192&lt;E192))*24-(N(G192)/60),2),0))</x:f>
        <x:v>0</x:v>
      </x:c>
      <x:c r="I192" s="34" t="str">
        <x:f>IF(H192=0,"",H192/24)</x:f>
      </x:c>
      <x:c r="J192"/>
      <x:c r="K192" s="22" t="str">
        <x:f>IF(B192="","",START_HERE!$B$7)</x:f>
      </x:c>
      <x:c r="L192" s="22" t="str">
        <x:f>IF(B192="","",ROUND(K192-H192,2))</x:f>
      </x:c>
      <x:c r="M192"/>
      <x:c r="N192" t="str">
        <x:f>IF(B192="","",IF(J192&lt;&gt;"Completed","Not counted",IF(H192&lt;=0,"CHECK TIME","OK")))</x:f>
      </x:c>
    </x:row>
    <x:row r="193">
      <x:c r="A193" t="str">
        <x:f>IF(B193="","",ROW()-1)</x:f>
      </x:c>
      <x:c r="B193" s="24"/>
      <x:c r="C193" t="str">
        <x:f>IF(B193="","",TEXT(B193,"mmm-yyyy"))</x:f>
      </x:c>
      <x:c r="D193" t="str">
        <x:f>IF(B193="","",TEXT(B193,"ddd"))</x:f>
      </x:c>
      <x:c r="E193" s="32"/>
      <x:c r="F193" s="32"/>
      <x:c r="G193"/>
      <x:c r="H193" s="22" t="n">
        <x:f>IF(OR(B193="",J193&lt;&gt;"Completed"),0,IF(AND(ISNUMBER(E193),ISNUMBER(F193)),ROUND(((F193-E193)+(F193&lt;E193))*24-(N(G193)/60),2),0))</x:f>
        <x:v>0</x:v>
      </x:c>
      <x:c r="I193" s="34" t="str">
        <x:f>IF(H193=0,"",H193/24)</x:f>
      </x:c>
      <x:c r="J193"/>
      <x:c r="K193" s="22" t="str">
        <x:f>IF(B193="","",START_HERE!$B$7)</x:f>
      </x:c>
      <x:c r="L193" s="22" t="str">
        <x:f>IF(B193="","",ROUND(K193-H193,2))</x:f>
      </x:c>
      <x:c r="M193"/>
      <x:c r="N193" t="str">
        <x:f>IF(B193="","",IF(J193&lt;&gt;"Completed","Not counted",IF(H193&lt;=0,"CHECK TIME","OK")))</x:f>
      </x:c>
    </x:row>
    <x:row r="194">
      <x:c r="A194" t="str">
        <x:f>IF(B194="","",ROW()-1)</x:f>
      </x:c>
      <x:c r="B194" s="24"/>
      <x:c r="C194" t="str">
        <x:f>IF(B194="","",TEXT(B194,"mmm-yyyy"))</x:f>
      </x:c>
      <x:c r="D194" t="str">
        <x:f>IF(B194="","",TEXT(B194,"ddd"))</x:f>
      </x:c>
      <x:c r="E194" s="32"/>
      <x:c r="F194" s="32"/>
      <x:c r="G194"/>
      <x:c r="H194" s="22" t="n">
        <x:f>IF(OR(B194="",J194&lt;&gt;"Completed"),0,IF(AND(ISNUMBER(E194),ISNUMBER(F194)),ROUND(((F194-E194)+(F194&lt;E194))*24-(N(G194)/60),2),0))</x:f>
        <x:v>0</x:v>
      </x:c>
      <x:c r="I194" s="34" t="str">
        <x:f>IF(H194=0,"",H194/24)</x:f>
      </x:c>
      <x:c r="J194"/>
      <x:c r="K194" s="22" t="str">
        <x:f>IF(B194="","",START_HERE!$B$7)</x:f>
      </x:c>
      <x:c r="L194" s="22" t="str">
        <x:f>IF(B194="","",ROUND(K194-H194,2))</x:f>
      </x:c>
      <x:c r="M194"/>
      <x:c r="N194" t="str">
        <x:f>IF(B194="","",IF(J194&lt;&gt;"Completed","Not counted",IF(H194&lt;=0,"CHECK TIME","OK")))</x:f>
      </x:c>
    </x:row>
    <x:row r="195">
      <x:c r="A195" t="str">
        <x:f>IF(B195="","",ROW()-1)</x:f>
      </x:c>
      <x:c r="B195" s="24"/>
      <x:c r="C195" t="str">
        <x:f>IF(B195="","",TEXT(B195,"mmm-yyyy"))</x:f>
      </x:c>
      <x:c r="D195" t="str">
        <x:f>IF(B195="","",TEXT(B195,"ddd"))</x:f>
      </x:c>
      <x:c r="E195" s="32"/>
      <x:c r="F195" s="32"/>
      <x:c r="G195"/>
      <x:c r="H195" s="22" t="n">
        <x:f>IF(OR(B195="",J195&lt;&gt;"Completed"),0,IF(AND(ISNUMBER(E195),ISNUMBER(F195)),ROUND(((F195-E195)+(F195&lt;E195))*24-(N(G195)/60),2),0))</x:f>
        <x:v>0</x:v>
      </x:c>
      <x:c r="I195" s="34" t="str">
        <x:f>IF(H195=0,"",H195/24)</x:f>
      </x:c>
      <x:c r="J195"/>
      <x:c r="K195" s="22" t="str">
        <x:f>IF(B195="","",START_HERE!$B$7)</x:f>
      </x:c>
      <x:c r="L195" s="22" t="str">
        <x:f>IF(B195="","",ROUND(K195-H195,2))</x:f>
      </x:c>
      <x:c r="M195"/>
      <x:c r="N195" t="str">
        <x:f>IF(B195="","",IF(J195&lt;&gt;"Completed","Not counted",IF(H195&lt;=0,"CHECK TIME","OK")))</x:f>
      </x:c>
    </x:row>
    <x:row r="196">
      <x:c r="A196" t="str">
        <x:f>IF(B196="","",ROW()-1)</x:f>
      </x:c>
      <x:c r="B196" s="24"/>
      <x:c r="C196" t="str">
        <x:f>IF(B196="","",TEXT(B196,"mmm-yyyy"))</x:f>
      </x:c>
      <x:c r="D196" t="str">
        <x:f>IF(B196="","",TEXT(B196,"ddd"))</x:f>
      </x:c>
      <x:c r="E196" s="32"/>
      <x:c r="F196" s="32"/>
      <x:c r="G196"/>
      <x:c r="H196" s="22" t="n">
        <x:f>IF(OR(B196="",J196&lt;&gt;"Completed"),0,IF(AND(ISNUMBER(E196),ISNUMBER(F196)),ROUND(((F196-E196)+(F196&lt;E196))*24-(N(G196)/60),2),0))</x:f>
        <x:v>0</x:v>
      </x:c>
      <x:c r="I196" s="34" t="str">
        <x:f>IF(H196=0,"",H196/24)</x:f>
      </x:c>
      <x:c r="J196"/>
      <x:c r="K196" s="22" t="str">
        <x:f>IF(B196="","",START_HERE!$B$7)</x:f>
      </x:c>
      <x:c r="L196" s="22" t="str">
        <x:f>IF(B196="","",ROUND(K196-H196,2))</x:f>
      </x:c>
      <x:c r="M196"/>
      <x:c r="N196" t="str">
        <x:f>IF(B196="","",IF(J196&lt;&gt;"Completed","Not counted",IF(H196&lt;=0,"CHECK TIME","OK")))</x:f>
      </x:c>
    </x:row>
    <x:row r="197">
      <x:c r="A197" t="str">
        <x:f>IF(B197="","",ROW()-1)</x:f>
      </x:c>
      <x:c r="B197" s="24"/>
      <x:c r="C197" t="str">
        <x:f>IF(B197="","",TEXT(B197,"mmm-yyyy"))</x:f>
      </x:c>
      <x:c r="D197" t="str">
        <x:f>IF(B197="","",TEXT(B197,"ddd"))</x:f>
      </x:c>
      <x:c r="E197" s="32"/>
      <x:c r="F197" s="32"/>
      <x:c r="G197"/>
      <x:c r="H197" s="22" t="n">
        <x:f>IF(OR(B197="",J197&lt;&gt;"Completed"),0,IF(AND(ISNUMBER(E197),ISNUMBER(F197)),ROUND(((F197-E197)+(F197&lt;E197))*24-(N(G197)/60),2),0))</x:f>
        <x:v>0</x:v>
      </x:c>
      <x:c r="I197" s="34" t="str">
        <x:f>IF(H197=0,"",H197/24)</x:f>
      </x:c>
      <x:c r="J197"/>
      <x:c r="K197" s="22" t="str">
        <x:f>IF(B197="","",START_HERE!$B$7)</x:f>
      </x:c>
      <x:c r="L197" s="22" t="str">
        <x:f>IF(B197="","",ROUND(K197-H197,2))</x:f>
      </x:c>
      <x:c r="M197"/>
      <x:c r="N197" t="str">
        <x:f>IF(B197="","",IF(J197&lt;&gt;"Completed","Not counted",IF(H197&lt;=0,"CHECK TIME","OK")))</x:f>
      </x:c>
    </x:row>
    <x:row r="198">
      <x:c r="A198" t="str">
        <x:f>IF(B198="","",ROW()-1)</x:f>
      </x:c>
      <x:c r="B198" s="24"/>
      <x:c r="C198" t="str">
        <x:f>IF(B198="","",TEXT(B198,"mmm-yyyy"))</x:f>
      </x:c>
      <x:c r="D198" t="str">
        <x:f>IF(B198="","",TEXT(B198,"ddd"))</x:f>
      </x:c>
      <x:c r="E198" s="32"/>
      <x:c r="F198" s="32"/>
      <x:c r="G198"/>
      <x:c r="H198" s="22" t="n">
        <x:f>IF(OR(B198="",J198&lt;&gt;"Completed"),0,IF(AND(ISNUMBER(E198),ISNUMBER(F198)),ROUND(((F198-E198)+(F198&lt;E198))*24-(N(G198)/60),2),0))</x:f>
        <x:v>0</x:v>
      </x:c>
      <x:c r="I198" s="34" t="str">
        <x:f>IF(H198=0,"",H198/24)</x:f>
      </x:c>
      <x:c r="J198"/>
      <x:c r="K198" s="22" t="str">
        <x:f>IF(B198="","",START_HERE!$B$7)</x:f>
      </x:c>
      <x:c r="L198" s="22" t="str">
        <x:f>IF(B198="","",ROUND(K198-H198,2))</x:f>
      </x:c>
      <x:c r="M198"/>
      <x:c r="N198" t="str">
        <x:f>IF(B198="","",IF(J198&lt;&gt;"Completed","Not counted",IF(H198&lt;=0,"CHECK TIME","OK")))</x:f>
      </x:c>
    </x:row>
    <x:row r="199">
      <x:c r="A199" t="str">
        <x:f>IF(B199="","",ROW()-1)</x:f>
      </x:c>
      <x:c r="B199" s="24"/>
      <x:c r="C199" t="str">
        <x:f>IF(B199="","",TEXT(B199,"mmm-yyyy"))</x:f>
      </x:c>
      <x:c r="D199" t="str">
        <x:f>IF(B199="","",TEXT(B199,"ddd"))</x:f>
      </x:c>
      <x:c r="E199" s="32"/>
      <x:c r="F199" s="32"/>
      <x:c r="G199"/>
      <x:c r="H199" s="22" t="n">
        <x:f>IF(OR(B199="",J199&lt;&gt;"Completed"),0,IF(AND(ISNUMBER(E199),ISNUMBER(F199)),ROUND(((F199-E199)+(F199&lt;E199))*24-(N(G199)/60),2),0))</x:f>
        <x:v>0</x:v>
      </x:c>
      <x:c r="I199" s="34" t="str">
        <x:f>IF(H199=0,"",H199/24)</x:f>
      </x:c>
      <x:c r="J199"/>
      <x:c r="K199" s="22" t="str">
        <x:f>IF(B199="","",START_HERE!$B$7)</x:f>
      </x:c>
      <x:c r="L199" s="22" t="str">
        <x:f>IF(B199="","",ROUND(K199-H199,2))</x:f>
      </x:c>
      <x:c r="M199"/>
      <x:c r="N199" t="str">
        <x:f>IF(B199="","",IF(J199&lt;&gt;"Completed","Not counted",IF(H199&lt;=0,"CHECK TIME","OK")))</x:f>
      </x:c>
    </x:row>
    <x:row r="200">
      <x:c r="A200" t="str">
        <x:f>IF(B200="","",ROW()-1)</x:f>
      </x:c>
      <x:c r="B200" s="24"/>
      <x:c r="C200" t="str">
        <x:f>IF(B200="","",TEXT(B200,"mmm-yyyy"))</x:f>
      </x:c>
      <x:c r="D200" t="str">
        <x:f>IF(B200="","",TEXT(B200,"ddd"))</x:f>
      </x:c>
      <x:c r="E200" s="32"/>
      <x:c r="F200" s="32"/>
      <x:c r="G200"/>
      <x:c r="H200" s="22" t="n">
        <x:f>IF(OR(B200="",J200&lt;&gt;"Completed"),0,IF(AND(ISNUMBER(E200),ISNUMBER(F200)),ROUND(((F200-E200)+(F200&lt;E200))*24-(N(G200)/60),2),0))</x:f>
        <x:v>0</x:v>
      </x:c>
      <x:c r="I200" s="34" t="str">
        <x:f>IF(H200=0,"",H200/24)</x:f>
      </x:c>
      <x:c r="J200"/>
      <x:c r="K200" s="22" t="str">
        <x:f>IF(B200="","",START_HERE!$B$7)</x:f>
      </x:c>
      <x:c r="L200" s="22" t="str">
        <x:f>IF(B200="","",ROUND(K200-H200,2))</x:f>
      </x:c>
      <x:c r="M200"/>
      <x:c r="N200" t="str">
        <x:f>IF(B200="","",IF(J200&lt;&gt;"Completed","Not counted",IF(H200&lt;=0,"CHECK TIME","OK")))</x:f>
      </x:c>
    </x:row>
    <x:row r="201">
      <x:c r="A201" t="str">
        <x:f>IF(B201="","",ROW()-1)</x:f>
      </x:c>
      <x:c r="B201" s="24"/>
      <x:c r="C201" t="str">
        <x:f>IF(B201="","",TEXT(B201,"mmm-yyyy"))</x:f>
      </x:c>
      <x:c r="D201" t="str">
        <x:f>IF(B201="","",TEXT(B201,"ddd"))</x:f>
      </x:c>
      <x:c r="E201" s="32"/>
      <x:c r="F201" s="32"/>
      <x:c r="G201"/>
      <x:c r="H201" s="22" t="n">
        <x:f>IF(OR(B201="",J201&lt;&gt;"Completed"),0,IF(AND(ISNUMBER(E201),ISNUMBER(F201)),ROUND(((F201-E201)+(F201&lt;E201))*24-(N(G201)/60),2),0))</x:f>
        <x:v>0</x:v>
      </x:c>
      <x:c r="I201" s="34" t="str">
        <x:f>IF(H201=0,"",H201/24)</x:f>
      </x:c>
      <x:c r="J201"/>
      <x:c r="K201" s="22" t="str">
        <x:f>IF(B201="","",START_HERE!$B$7)</x:f>
      </x:c>
      <x:c r="L201" s="22" t="str">
        <x:f>IF(B201="","",ROUND(K201-H201,2))</x:f>
      </x:c>
      <x:c r="M201"/>
      <x:c r="N201" t="str">
        <x:f>IF(B201="","",IF(J201&lt;&gt;"Completed","Not counted",IF(H201&lt;=0,"CHECK TIME","OK")))</x:f>
      </x:c>
    </x:row>
    <x:row r="202">
      <x:c r="A202" t="str">
        <x:f>IF(B202="","",ROW()-1)</x:f>
      </x:c>
      <x:c r="B202" s="24"/>
      <x:c r="C202" t="str">
        <x:f>IF(B202="","",TEXT(B202,"mmm-yyyy"))</x:f>
      </x:c>
      <x:c r="D202" t="str">
        <x:f>IF(B202="","",TEXT(B202,"ddd"))</x:f>
      </x:c>
      <x:c r="E202" s="32"/>
      <x:c r="F202" s="32"/>
      <x:c r="G202"/>
      <x:c r="H202" s="22" t="n">
        <x:f>IF(OR(B202="",J202&lt;&gt;"Completed"),0,IF(AND(ISNUMBER(E202),ISNUMBER(F202)),ROUND(((F202-E202)+(F202&lt;E202))*24-(N(G202)/60),2),0))</x:f>
        <x:v>0</x:v>
      </x:c>
      <x:c r="I202" s="34" t="str">
        <x:f>IF(H202=0,"",H202/24)</x:f>
      </x:c>
      <x:c r="J202"/>
      <x:c r="K202" s="22" t="str">
        <x:f>IF(B202="","",START_HERE!$B$7)</x:f>
      </x:c>
      <x:c r="L202" s="22" t="str">
        <x:f>IF(B202="","",ROUND(K202-H202,2))</x:f>
      </x:c>
      <x:c r="M202"/>
      <x:c r="N202" t="str">
        <x:f>IF(B202="","",IF(J202&lt;&gt;"Completed","Not counted",IF(H202&lt;=0,"CHECK TIME","OK")))</x:f>
      </x:c>
    </x:row>
    <x:row r="203">
      <x:c r="A203" t="str">
        <x:f>IF(B203="","",ROW()-1)</x:f>
      </x:c>
      <x:c r="B203" s="24"/>
      <x:c r="C203" t="str">
        <x:f>IF(B203="","",TEXT(B203,"mmm-yyyy"))</x:f>
      </x:c>
      <x:c r="D203" t="str">
        <x:f>IF(B203="","",TEXT(B203,"ddd"))</x:f>
      </x:c>
      <x:c r="E203" s="32"/>
      <x:c r="F203" s="32"/>
      <x:c r="G203"/>
      <x:c r="H203" s="22" t="n">
        <x:f>IF(OR(B203="",J203&lt;&gt;"Completed"),0,IF(AND(ISNUMBER(E203),ISNUMBER(F203)),ROUND(((F203-E203)+(F203&lt;E203))*24-(N(G203)/60),2),0))</x:f>
        <x:v>0</x:v>
      </x:c>
      <x:c r="I203" s="34" t="str">
        <x:f>IF(H203=0,"",H203/24)</x:f>
      </x:c>
      <x:c r="J203"/>
      <x:c r="K203" s="22" t="str">
        <x:f>IF(B203="","",START_HERE!$B$7)</x:f>
      </x:c>
      <x:c r="L203" s="22" t="str">
        <x:f>IF(B203="","",ROUND(K203-H203,2))</x:f>
      </x:c>
      <x:c r="M203"/>
      <x:c r="N203" t="str">
        <x:f>IF(B203="","",IF(J203&lt;&gt;"Completed","Not counted",IF(H203&lt;=0,"CHECK TIME","OK")))</x:f>
      </x:c>
    </x:row>
    <x:row r="204">
      <x:c r="A204" t="str">
        <x:f>IF(B204="","",ROW()-1)</x:f>
      </x:c>
      <x:c r="B204" s="24"/>
      <x:c r="C204" t="str">
        <x:f>IF(B204="","",TEXT(B204,"mmm-yyyy"))</x:f>
      </x:c>
      <x:c r="D204" t="str">
        <x:f>IF(B204="","",TEXT(B204,"ddd"))</x:f>
      </x:c>
      <x:c r="E204" s="32"/>
      <x:c r="F204" s="32"/>
      <x:c r="G204"/>
      <x:c r="H204" s="22" t="n">
        <x:f>IF(OR(B204="",J204&lt;&gt;"Completed"),0,IF(AND(ISNUMBER(E204),ISNUMBER(F204)),ROUND(((F204-E204)+(F204&lt;E204))*24-(N(G204)/60),2),0))</x:f>
        <x:v>0</x:v>
      </x:c>
      <x:c r="I204" s="34" t="str">
        <x:f>IF(H204=0,"",H204/24)</x:f>
      </x:c>
      <x:c r="J204"/>
      <x:c r="K204" s="22" t="str">
        <x:f>IF(B204="","",START_HERE!$B$7)</x:f>
      </x:c>
      <x:c r="L204" s="22" t="str">
        <x:f>IF(B204="","",ROUND(K204-H204,2))</x:f>
      </x:c>
      <x:c r="M204"/>
      <x:c r="N204" t="str">
        <x:f>IF(B204="","",IF(J204&lt;&gt;"Completed","Not counted",IF(H204&lt;=0,"CHECK TIME","OK")))</x:f>
      </x:c>
    </x:row>
    <x:row r="205">
      <x:c r="A205" t="str">
        <x:f>IF(B205="","",ROW()-1)</x:f>
      </x:c>
      <x:c r="B205" s="24"/>
      <x:c r="C205" t="str">
        <x:f>IF(B205="","",TEXT(B205,"mmm-yyyy"))</x:f>
      </x:c>
      <x:c r="D205" t="str">
        <x:f>IF(B205="","",TEXT(B205,"ddd"))</x:f>
      </x:c>
      <x:c r="E205" s="32"/>
      <x:c r="F205" s="32"/>
      <x:c r="G205"/>
      <x:c r="H205" s="22" t="n">
        <x:f>IF(OR(B205="",J205&lt;&gt;"Completed"),0,IF(AND(ISNUMBER(E205),ISNUMBER(F205)),ROUND(((F205-E205)+(F205&lt;E205))*24-(N(G205)/60),2),0))</x:f>
        <x:v>0</x:v>
      </x:c>
      <x:c r="I205" s="34" t="str">
        <x:f>IF(H205=0,"",H205/24)</x:f>
      </x:c>
      <x:c r="J205"/>
      <x:c r="K205" s="22" t="str">
        <x:f>IF(B205="","",START_HERE!$B$7)</x:f>
      </x:c>
      <x:c r="L205" s="22" t="str">
        <x:f>IF(B205="","",ROUND(K205-H205,2))</x:f>
      </x:c>
      <x:c r="M205"/>
      <x:c r="N205" t="str">
        <x:f>IF(B205="","",IF(J205&lt;&gt;"Completed","Not counted",IF(H205&lt;=0,"CHECK TIME","OK")))</x:f>
      </x:c>
    </x:row>
    <x:row r="206">
      <x:c r="A206" t="str">
        <x:f>IF(B206="","",ROW()-1)</x:f>
      </x:c>
      <x:c r="B206" s="24"/>
      <x:c r="C206" t="str">
        <x:f>IF(B206="","",TEXT(B206,"mmm-yyyy"))</x:f>
      </x:c>
      <x:c r="D206" t="str">
        <x:f>IF(B206="","",TEXT(B206,"ddd"))</x:f>
      </x:c>
      <x:c r="E206" s="32"/>
      <x:c r="F206" s="32"/>
      <x:c r="G206"/>
      <x:c r="H206" s="22" t="n">
        <x:f>IF(OR(B206="",J206&lt;&gt;"Completed"),0,IF(AND(ISNUMBER(E206),ISNUMBER(F206)),ROUND(((F206-E206)+(F206&lt;E206))*24-(N(G206)/60),2),0))</x:f>
        <x:v>0</x:v>
      </x:c>
      <x:c r="I206" s="34" t="str">
        <x:f>IF(H206=0,"",H206/24)</x:f>
      </x:c>
      <x:c r="J206"/>
      <x:c r="K206" s="22" t="str">
        <x:f>IF(B206="","",START_HERE!$B$7)</x:f>
      </x:c>
      <x:c r="L206" s="22" t="str">
        <x:f>IF(B206="","",ROUND(K206-H206,2))</x:f>
      </x:c>
      <x:c r="M206"/>
      <x:c r="N206" t="str">
        <x:f>IF(B206="","",IF(J206&lt;&gt;"Completed","Not counted",IF(H206&lt;=0,"CHECK TIME","OK")))</x:f>
      </x:c>
    </x:row>
    <x:row r="207">
      <x:c r="A207" t="str">
        <x:f>IF(B207="","",ROW()-1)</x:f>
      </x:c>
      <x:c r="B207" s="24"/>
      <x:c r="C207" t="str">
        <x:f>IF(B207="","",TEXT(B207,"mmm-yyyy"))</x:f>
      </x:c>
      <x:c r="D207" t="str">
        <x:f>IF(B207="","",TEXT(B207,"ddd"))</x:f>
      </x:c>
      <x:c r="E207" s="32"/>
      <x:c r="F207" s="32"/>
      <x:c r="G207"/>
      <x:c r="H207" s="22" t="n">
        <x:f>IF(OR(B207="",J207&lt;&gt;"Completed"),0,IF(AND(ISNUMBER(E207),ISNUMBER(F207)),ROUND(((F207-E207)+(F207&lt;E207))*24-(N(G207)/60),2),0))</x:f>
        <x:v>0</x:v>
      </x:c>
      <x:c r="I207" s="34" t="str">
        <x:f>IF(H207=0,"",H207/24)</x:f>
      </x:c>
      <x:c r="J207"/>
      <x:c r="K207" s="22" t="str">
        <x:f>IF(B207="","",START_HERE!$B$7)</x:f>
      </x:c>
      <x:c r="L207" s="22" t="str">
        <x:f>IF(B207="","",ROUND(K207-H207,2))</x:f>
      </x:c>
      <x:c r="M207"/>
      <x:c r="N207" t="str">
        <x:f>IF(B207="","",IF(J207&lt;&gt;"Completed","Not counted",IF(H207&lt;=0,"CHECK TIME","OK")))</x:f>
      </x:c>
    </x:row>
    <x:row r="208">
      <x:c r="A208" t="str">
        <x:f>IF(B208="","",ROW()-1)</x:f>
      </x:c>
      <x:c r="B208" s="24"/>
      <x:c r="C208" t="str">
        <x:f>IF(B208="","",TEXT(B208,"mmm-yyyy"))</x:f>
      </x:c>
      <x:c r="D208" t="str">
        <x:f>IF(B208="","",TEXT(B208,"ddd"))</x:f>
      </x:c>
      <x:c r="E208" s="32"/>
      <x:c r="F208" s="32"/>
      <x:c r="G208"/>
      <x:c r="H208" s="22" t="n">
        <x:f>IF(OR(B208="",J208&lt;&gt;"Completed"),0,IF(AND(ISNUMBER(E208),ISNUMBER(F208)),ROUND(((F208-E208)+(F208&lt;E208))*24-(N(G208)/60),2),0))</x:f>
        <x:v>0</x:v>
      </x:c>
      <x:c r="I208" s="34" t="str">
        <x:f>IF(H208=0,"",H208/24)</x:f>
      </x:c>
      <x:c r="J208"/>
      <x:c r="K208" s="22" t="str">
        <x:f>IF(B208="","",START_HERE!$B$7)</x:f>
      </x:c>
      <x:c r="L208" s="22" t="str">
        <x:f>IF(B208="","",ROUND(K208-H208,2))</x:f>
      </x:c>
      <x:c r="M208"/>
      <x:c r="N208" t="str">
        <x:f>IF(B208="","",IF(J208&lt;&gt;"Completed","Not counted",IF(H208&lt;=0,"CHECK TIME","OK")))</x:f>
      </x:c>
    </x:row>
    <x:row r="209">
      <x:c r="A209" t="str">
        <x:f>IF(B209="","",ROW()-1)</x:f>
      </x:c>
      <x:c r="B209" s="24"/>
      <x:c r="C209" t="str">
        <x:f>IF(B209="","",TEXT(B209,"mmm-yyyy"))</x:f>
      </x:c>
      <x:c r="D209" t="str">
        <x:f>IF(B209="","",TEXT(B209,"ddd"))</x:f>
      </x:c>
      <x:c r="E209" s="32"/>
      <x:c r="F209" s="32"/>
      <x:c r="G209"/>
      <x:c r="H209" s="22" t="n">
        <x:f>IF(OR(B209="",J209&lt;&gt;"Completed"),0,IF(AND(ISNUMBER(E209),ISNUMBER(F209)),ROUND(((F209-E209)+(F209&lt;E209))*24-(N(G209)/60),2),0))</x:f>
        <x:v>0</x:v>
      </x:c>
      <x:c r="I209" s="34" t="str">
        <x:f>IF(H209=0,"",H209/24)</x:f>
      </x:c>
      <x:c r="J209"/>
      <x:c r="K209" s="22" t="str">
        <x:f>IF(B209="","",START_HERE!$B$7)</x:f>
      </x:c>
      <x:c r="L209" s="22" t="str">
        <x:f>IF(B209="","",ROUND(K209-H209,2))</x:f>
      </x:c>
      <x:c r="M209"/>
      <x:c r="N209" t="str">
        <x:f>IF(B209="","",IF(J209&lt;&gt;"Completed","Not counted",IF(H209&lt;=0,"CHECK TIME","OK")))</x:f>
      </x:c>
    </x:row>
    <x:row r="210">
      <x:c r="A210" t="str">
        <x:f>IF(B210="","",ROW()-1)</x:f>
      </x:c>
      <x:c r="B210" s="24"/>
      <x:c r="C210" t="str">
        <x:f>IF(B210="","",TEXT(B210,"mmm-yyyy"))</x:f>
      </x:c>
      <x:c r="D210" t="str">
        <x:f>IF(B210="","",TEXT(B210,"ddd"))</x:f>
      </x:c>
      <x:c r="E210" s="32"/>
      <x:c r="F210" s="32"/>
      <x:c r="G210"/>
      <x:c r="H210" s="22" t="n">
        <x:f>IF(OR(B210="",J210&lt;&gt;"Completed"),0,IF(AND(ISNUMBER(E210),ISNUMBER(F210)),ROUND(((F210-E210)+(F210&lt;E210))*24-(N(G210)/60),2),0))</x:f>
        <x:v>0</x:v>
      </x:c>
      <x:c r="I210" s="34" t="str">
        <x:f>IF(H210=0,"",H210/24)</x:f>
      </x:c>
      <x:c r="J210"/>
      <x:c r="K210" s="22" t="str">
        <x:f>IF(B210="","",START_HERE!$B$7)</x:f>
      </x:c>
      <x:c r="L210" s="22" t="str">
        <x:f>IF(B210="","",ROUND(K210-H210,2))</x:f>
      </x:c>
      <x:c r="M210"/>
      <x:c r="N210" t="str">
        <x:f>IF(B210="","",IF(J210&lt;&gt;"Completed","Not counted",IF(H210&lt;=0,"CHECK TIME","OK")))</x:f>
      </x:c>
    </x:row>
    <x:row r="211">
      <x:c r="A211" t="str">
        <x:f>IF(B211="","",ROW()-1)</x:f>
      </x:c>
      <x:c r="B211" s="24"/>
      <x:c r="C211" t="str">
        <x:f>IF(B211="","",TEXT(B211,"mmm-yyyy"))</x:f>
      </x:c>
      <x:c r="D211" t="str">
        <x:f>IF(B211="","",TEXT(B211,"ddd"))</x:f>
      </x:c>
      <x:c r="E211" s="32"/>
      <x:c r="F211" s="32"/>
      <x:c r="G211"/>
      <x:c r="H211" s="22" t="n">
        <x:f>IF(OR(B211="",J211&lt;&gt;"Completed"),0,IF(AND(ISNUMBER(E211),ISNUMBER(F211)),ROUND(((F211-E211)+(F211&lt;E211))*24-(N(G211)/60),2),0))</x:f>
        <x:v>0</x:v>
      </x:c>
      <x:c r="I211" s="34" t="str">
        <x:f>IF(H211=0,"",H211/24)</x:f>
      </x:c>
      <x:c r="J211"/>
      <x:c r="K211" s="22" t="str">
        <x:f>IF(B211="","",START_HERE!$B$7)</x:f>
      </x:c>
      <x:c r="L211" s="22" t="str">
        <x:f>IF(B211="","",ROUND(K211-H211,2))</x:f>
      </x:c>
      <x:c r="M211"/>
      <x:c r="N211" t="str">
        <x:f>IF(B211="","",IF(J211&lt;&gt;"Completed","Not counted",IF(H211&lt;=0,"CHECK TIME","OK")))</x:f>
      </x:c>
    </x:row>
    <x:row r="212">
      <x:c r="A212" t="str">
        <x:f>IF(B212="","",ROW()-1)</x:f>
      </x:c>
      <x:c r="B212" s="24"/>
      <x:c r="C212" t="str">
        <x:f>IF(B212="","",TEXT(B212,"mmm-yyyy"))</x:f>
      </x:c>
      <x:c r="D212" t="str">
        <x:f>IF(B212="","",TEXT(B212,"ddd"))</x:f>
      </x:c>
      <x:c r="E212" s="32"/>
      <x:c r="F212" s="32"/>
      <x:c r="G212"/>
      <x:c r="H212" s="22" t="n">
        <x:f>IF(OR(B212="",J212&lt;&gt;"Completed"),0,IF(AND(ISNUMBER(E212),ISNUMBER(F212)),ROUND(((F212-E212)+(F212&lt;E212))*24-(N(G212)/60),2),0))</x:f>
        <x:v>0</x:v>
      </x:c>
      <x:c r="I212" s="34" t="str">
        <x:f>IF(H212=0,"",H212/24)</x:f>
      </x:c>
      <x:c r="J212"/>
      <x:c r="K212" s="22" t="str">
        <x:f>IF(B212="","",START_HERE!$B$7)</x:f>
      </x:c>
      <x:c r="L212" s="22" t="str">
        <x:f>IF(B212="","",ROUND(K212-H212,2))</x:f>
      </x:c>
      <x:c r="M212"/>
      <x:c r="N212" t="str">
        <x:f>IF(B212="","",IF(J212&lt;&gt;"Completed","Not counted",IF(H212&lt;=0,"CHECK TIME","OK")))</x:f>
      </x:c>
    </x:row>
    <x:row r="213">
      <x:c r="A213" t="str">
        <x:f>IF(B213="","",ROW()-1)</x:f>
      </x:c>
      <x:c r="B213" s="24"/>
      <x:c r="C213" t="str">
        <x:f>IF(B213="","",TEXT(B213,"mmm-yyyy"))</x:f>
      </x:c>
      <x:c r="D213" t="str">
        <x:f>IF(B213="","",TEXT(B213,"ddd"))</x:f>
      </x:c>
      <x:c r="E213" s="32"/>
      <x:c r="F213" s="32"/>
      <x:c r="G213"/>
      <x:c r="H213" s="22" t="n">
        <x:f>IF(OR(B213="",J213&lt;&gt;"Completed"),0,IF(AND(ISNUMBER(E213),ISNUMBER(F213)),ROUND(((F213-E213)+(F213&lt;E213))*24-(N(G213)/60),2),0))</x:f>
        <x:v>0</x:v>
      </x:c>
      <x:c r="I213" s="34" t="str">
        <x:f>IF(H213=0,"",H213/24)</x:f>
      </x:c>
      <x:c r="J213"/>
      <x:c r="K213" s="22" t="str">
        <x:f>IF(B213="","",START_HERE!$B$7)</x:f>
      </x:c>
      <x:c r="L213" s="22" t="str">
        <x:f>IF(B213="","",ROUND(K213-H213,2))</x:f>
      </x:c>
      <x:c r="M213"/>
      <x:c r="N213" t="str">
        <x:f>IF(B213="","",IF(J213&lt;&gt;"Completed","Not counted",IF(H213&lt;=0,"CHECK TIME","OK")))</x:f>
      </x:c>
    </x:row>
    <x:row r="214">
      <x:c r="A214" t="str">
        <x:f>IF(B214="","",ROW()-1)</x:f>
      </x:c>
      <x:c r="B214" s="24"/>
      <x:c r="C214" t="str">
        <x:f>IF(B214="","",TEXT(B214,"mmm-yyyy"))</x:f>
      </x:c>
      <x:c r="D214" t="str">
        <x:f>IF(B214="","",TEXT(B214,"ddd"))</x:f>
      </x:c>
      <x:c r="E214" s="32"/>
      <x:c r="F214" s="32"/>
      <x:c r="G214"/>
      <x:c r="H214" s="22" t="n">
        <x:f>IF(OR(B214="",J214&lt;&gt;"Completed"),0,IF(AND(ISNUMBER(E214),ISNUMBER(F214)),ROUND(((F214-E214)+(F214&lt;E214))*24-(N(G214)/60),2),0))</x:f>
        <x:v>0</x:v>
      </x:c>
      <x:c r="I214" s="34" t="str">
        <x:f>IF(H214=0,"",H214/24)</x:f>
      </x:c>
      <x:c r="J214"/>
      <x:c r="K214" s="22" t="str">
        <x:f>IF(B214="","",START_HERE!$B$7)</x:f>
      </x:c>
      <x:c r="L214" s="22" t="str">
        <x:f>IF(B214="","",ROUND(K214-H214,2))</x:f>
      </x:c>
      <x:c r="M214"/>
      <x:c r="N214" t="str">
        <x:f>IF(B214="","",IF(J214&lt;&gt;"Completed","Not counted",IF(H214&lt;=0,"CHECK TIME","OK")))</x:f>
      </x:c>
    </x:row>
    <x:row r="215">
      <x:c r="A215" t="str">
        <x:f>IF(B215="","",ROW()-1)</x:f>
      </x:c>
      <x:c r="B215" s="24"/>
      <x:c r="C215" t="str">
        <x:f>IF(B215="","",TEXT(B215,"mmm-yyyy"))</x:f>
      </x:c>
      <x:c r="D215" t="str">
        <x:f>IF(B215="","",TEXT(B215,"ddd"))</x:f>
      </x:c>
      <x:c r="E215" s="32"/>
      <x:c r="F215" s="32"/>
      <x:c r="G215"/>
      <x:c r="H215" s="22" t="n">
        <x:f>IF(OR(B215="",J215&lt;&gt;"Completed"),0,IF(AND(ISNUMBER(E215),ISNUMBER(F215)),ROUND(((F215-E215)+(F215&lt;E215))*24-(N(G215)/60),2),0))</x:f>
        <x:v>0</x:v>
      </x:c>
      <x:c r="I215" s="34" t="str">
        <x:f>IF(H215=0,"",H215/24)</x:f>
      </x:c>
      <x:c r="J215"/>
      <x:c r="K215" s="22" t="str">
        <x:f>IF(B215="","",START_HERE!$B$7)</x:f>
      </x:c>
      <x:c r="L215" s="22" t="str">
        <x:f>IF(B215="","",ROUND(K215-H215,2))</x:f>
      </x:c>
      <x:c r="M215"/>
      <x:c r="N215" t="str">
        <x:f>IF(B215="","",IF(J215&lt;&gt;"Completed","Not counted",IF(H215&lt;=0,"CHECK TIME","OK")))</x:f>
      </x:c>
    </x:row>
    <x:row r="216">
      <x:c r="A216" t="str">
        <x:f>IF(B216="","",ROW()-1)</x:f>
      </x:c>
      <x:c r="B216" s="24"/>
      <x:c r="C216" t="str">
        <x:f>IF(B216="","",TEXT(B216,"mmm-yyyy"))</x:f>
      </x:c>
      <x:c r="D216" t="str">
        <x:f>IF(B216="","",TEXT(B216,"ddd"))</x:f>
      </x:c>
      <x:c r="E216" s="32"/>
      <x:c r="F216" s="32"/>
      <x:c r="G216"/>
      <x:c r="H216" s="22" t="n">
        <x:f>IF(OR(B216="",J216&lt;&gt;"Completed"),0,IF(AND(ISNUMBER(E216),ISNUMBER(F216)),ROUND(((F216-E216)+(F216&lt;E216))*24-(N(G216)/60),2),0))</x:f>
        <x:v>0</x:v>
      </x:c>
      <x:c r="I216" s="34" t="str">
        <x:f>IF(H216=0,"",H216/24)</x:f>
      </x:c>
      <x:c r="J216"/>
      <x:c r="K216" s="22" t="str">
        <x:f>IF(B216="","",START_HERE!$B$7)</x:f>
      </x:c>
      <x:c r="L216" s="22" t="str">
        <x:f>IF(B216="","",ROUND(K216-H216,2))</x:f>
      </x:c>
      <x:c r="M216"/>
      <x:c r="N216" t="str">
        <x:f>IF(B216="","",IF(J216&lt;&gt;"Completed","Not counted",IF(H216&lt;=0,"CHECK TIME","OK")))</x:f>
      </x:c>
    </x:row>
    <x:row r="217">
      <x:c r="A217" t="str">
        <x:f>IF(B217="","",ROW()-1)</x:f>
      </x:c>
      <x:c r="B217" s="24"/>
      <x:c r="C217" t="str">
        <x:f>IF(B217="","",TEXT(B217,"mmm-yyyy"))</x:f>
      </x:c>
      <x:c r="D217" t="str">
        <x:f>IF(B217="","",TEXT(B217,"ddd"))</x:f>
      </x:c>
      <x:c r="E217" s="32"/>
      <x:c r="F217" s="32"/>
      <x:c r="G217"/>
      <x:c r="H217" s="22" t="n">
        <x:f>IF(OR(B217="",J217&lt;&gt;"Completed"),0,IF(AND(ISNUMBER(E217),ISNUMBER(F217)),ROUND(((F217-E217)+(F217&lt;E217))*24-(N(G217)/60),2),0))</x:f>
        <x:v>0</x:v>
      </x:c>
      <x:c r="I217" s="34" t="str">
        <x:f>IF(H217=0,"",H217/24)</x:f>
      </x:c>
      <x:c r="J217"/>
      <x:c r="K217" s="22" t="str">
        <x:f>IF(B217="","",START_HERE!$B$7)</x:f>
      </x:c>
      <x:c r="L217" s="22" t="str">
        <x:f>IF(B217="","",ROUND(K217-H217,2))</x:f>
      </x:c>
      <x:c r="M217"/>
      <x:c r="N217" t="str">
        <x:f>IF(B217="","",IF(J217&lt;&gt;"Completed","Not counted",IF(H217&lt;=0,"CHECK TIME","OK")))</x:f>
      </x:c>
    </x:row>
    <x:row r="218">
      <x:c r="A218" t="str">
        <x:f>IF(B218="","",ROW()-1)</x:f>
      </x:c>
      <x:c r="B218" s="24"/>
      <x:c r="C218" t="str">
        <x:f>IF(B218="","",TEXT(B218,"mmm-yyyy"))</x:f>
      </x:c>
      <x:c r="D218" t="str">
        <x:f>IF(B218="","",TEXT(B218,"ddd"))</x:f>
      </x:c>
      <x:c r="E218" s="32"/>
      <x:c r="F218" s="32"/>
      <x:c r="G218"/>
      <x:c r="H218" s="22" t="n">
        <x:f>IF(OR(B218="",J218&lt;&gt;"Completed"),0,IF(AND(ISNUMBER(E218),ISNUMBER(F218)),ROUND(((F218-E218)+(F218&lt;E218))*24-(N(G218)/60),2),0))</x:f>
        <x:v>0</x:v>
      </x:c>
      <x:c r="I218" s="34" t="str">
        <x:f>IF(H218=0,"",H218/24)</x:f>
      </x:c>
      <x:c r="J218"/>
      <x:c r="K218" s="22" t="str">
        <x:f>IF(B218="","",START_HERE!$B$7)</x:f>
      </x:c>
      <x:c r="L218" s="22" t="str">
        <x:f>IF(B218="","",ROUND(K218-H218,2))</x:f>
      </x:c>
      <x:c r="M218"/>
      <x:c r="N218" t="str">
        <x:f>IF(B218="","",IF(J218&lt;&gt;"Completed","Not counted",IF(H218&lt;=0,"CHECK TIME","OK")))</x:f>
      </x:c>
    </x:row>
    <x:row r="219">
      <x:c r="A219" t="str">
        <x:f>IF(B219="","",ROW()-1)</x:f>
      </x:c>
      <x:c r="B219" s="24"/>
      <x:c r="C219" t="str">
        <x:f>IF(B219="","",TEXT(B219,"mmm-yyyy"))</x:f>
      </x:c>
      <x:c r="D219" t="str">
        <x:f>IF(B219="","",TEXT(B219,"ddd"))</x:f>
      </x:c>
      <x:c r="E219" s="32"/>
      <x:c r="F219" s="32"/>
      <x:c r="G219"/>
      <x:c r="H219" s="22" t="n">
        <x:f>IF(OR(B219="",J219&lt;&gt;"Completed"),0,IF(AND(ISNUMBER(E219),ISNUMBER(F219)),ROUND(((F219-E219)+(F219&lt;E219))*24-(N(G219)/60),2),0))</x:f>
        <x:v>0</x:v>
      </x:c>
      <x:c r="I219" s="34" t="str">
        <x:f>IF(H219=0,"",H219/24)</x:f>
      </x:c>
      <x:c r="J219"/>
      <x:c r="K219" s="22" t="str">
        <x:f>IF(B219="","",START_HERE!$B$7)</x:f>
      </x:c>
      <x:c r="L219" s="22" t="str">
        <x:f>IF(B219="","",ROUND(K219-H219,2))</x:f>
      </x:c>
      <x:c r="M219"/>
      <x:c r="N219" t="str">
        <x:f>IF(B219="","",IF(J219&lt;&gt;"Completed","Not counted",IF(H219&lt;=0,"CHECK TIME","OK")))</x:f>
      </x:c>
    </x:row>
    <x:row r="220">
      <x:c r="A220" t="str">
        <x:f>IF(B220="","",ROW()-1)</x:f>
      </x:c>
      <x:c r="B220" s="24"/>
      <x:c r="C220" t="str">
        <x:f>IF(B220="","",TEXT(B220,"mmm-yyyy"))</x:f>
      </x:c>
      <x:c r="D220" t="str">
        <x:f>IF(B220="","",TEXT(B220,"ddd"))</x:f>
      </x:c>
      <x:c r="E220" s="32"/>
      <x:c r="F220" s="32"/>
      <x:c r="G220"/>
      <x:c r="H220" s="22" t="n">
        <x:f>IF(OR(B220="",J220&lt;&gt;"Completed"),0,IF(AND(ISNUMBER(E220),ISNUMBER(F220)),ROUND(((F220-E220)+(F220&lt;E220))*24-(N(G220)/60),2),0))</x:f>
        <x:v>0</x:v>
      </x:c>
      <x:c r="I220" s="34" t="str">
        <x:f>IF(H220=0,"",H220/24)</x:f>
      </x:c>
      <x:c r="J220"/>
      <x:c r="K220" s="22" t="str">
        <x:f>IF(B220="","",START_HERE!$B$7)</x:f>
      </x:c>
      <x:c r="L220" s="22" t="str">
        <x:f>IF(B220="","",ROUND(K220-H220,2))</x:f>
      </x:c>
      <x:c r="M220"/>
      <x:c r="N220" t="str">
        <x:f>IF(B220="","",IF(J220&lt;&gt;"Completed","Not counted",IF(H220&lt;=0,"CHECK TIME","OK")))</x:f>
      </x:c>
    </x:row>
    <x:row r="221">
      <x:c r="A221" t="str">
        <x:f>IF(B221="","",ROW()-1)</x:f>
      </x:c>
      <x:c r="B221" s="24"/>
      <x:c r="C221" t="str">
        <x:f>IF(B221="","",TEXT(B221,"mmm-yyyy"))</x:f>
      </x:c>
      <x:c r="D221" t="str">
        <x:f>IF(B221="","",TEXT(B221,"ddd"))</x:f>
      </x:c>
      <x:c r="E221" s="32"/>
      <x:c r="F221" s="32"/>
      <x:c r="G221"/>
      <x:c r="H221" s="22" t="n">
        <x:f>IF(OR(B221="",J221&lt;&gt;"Completed"),0,IF(AND(ISNUMBER(E221),ISNUMBER(F221)),ROUND(((F221-E221)+(F221&lt;E221))*24-(N(G221)/60),2),0))</x:f>
        <x:v>0</x:v>
      </x:c>
      <x:c r="I221" s="34" t="str">
        <x:f>IF(H221=0,"",H221/24)</x:f>
      </x:c>
      <x:c r="J221"/>
      <x:c r="K221" s="22" t="str">
        <x:f>IF(B221="","",START_HERE!$B$7)</x:f>
      </x:c>
      <x:c r="L221" s="22" t="str">
        <x:f>IF(B221="","",ROUND(K221-H221,2))</x:f>
      </x:c>
      <x:c r="M221"/>
      <x:c r="N221" t="str">
        <x:f>IF(B221="","",IF(J221&lt;&gt;"Completed","Not counted",IF(H221&lt;=0,"CHECK TIME","OK")))</x:f>
      </x:c>
    </x:row>
    <x:row r="222">
      <x:c r="A222" t="str">
        <x:f>IF(B222="","",ROW()-1)</x:f>
      </x:c>
      <x:c r="B222" s="24"/>
      <x:c r="C222" t="str">
        <x:f>IF(B222="","",TEXT(B222,"mmm-yyyy"))</x:f>
      </x:c>
      <x:c r="D222" t="str">
        <x:f>IF(B222="","",TEXT(B222,"ddd"))</x:f>
      </x:c>
      <x:c r="E222" s="32"/>
      <x:c r="F222" s="32"/>
      <x:c r="G222"/>
      <x:c r="H222" s="22" t="n">
        <x:f>IF(OR(B222="",J222&lt;&gt;"Completed"),0,IF(AND(ISNUMBER(E222),ISNUMBER(F222)),ROUND(((F222-E222)+(F222&lt;E222))*24-(N(G222)/60),2),0))</x:f>
        <x:v>0</x:v>
      </x:c>
      <x:c r="I222" s="34" t="str">
        <x:f>IF(H222=0,"",H222/24)</x:f>
      </x:c>
      <x:c r="J222"/>
      <x:c r="K222" s="22" t="str">
        <x:f>IF(B222="","",START_HERE!$B$7)</x:f>
      </x:c>
      <x:c r="L222" s="22" t="str">
        <x:f>IF(B222="","",ROUND(K222-H222,2))</x:f>
      </x:c>
      <x:c r="M222"/>
      <x:c r="N222" t="str">
        <x:f>IF(B222="","",IF(J222&lt;&gt;"Completed","Not counted",IF(H222&lt;=0,"CHECK TIME","OK")))</x:f>
      </x:c>
    </x:row>
    <x:row r="223">
      <x:c r="A223" t="str">
        <x:f>IF(B223="","",ROW()-1)</x:f>
      </x:c>
      <x:c r="B223" s="24"/>
      <x:c r="C223" t="str">
        <x:f>IF(B223="","",TEXT(B223,"mmm-yyyy"))</x:f>
      </x:c>
      <x:c r="D223" t="str">
        <x:f>IF(B223="","",TEXT(B223,"ddd"))</x:f>
      </x:c>
      <x:c r="E223" s="32"/>
      <x:c r="F223" s="32"/>
      <x:c r="G223"/>
      <x:c r="H223" s="22" t="n">
        <x:f>IF(OR(B223="",J223&lt;&gt;"Completed"),0,IF(AND(ISNUMBER(E223),ISNUMBER(F223)),ROUND(((F223-E223)+(F223&lt;E223))*24-(N(G223)/60),2),0))</x:f>
        <x:v>0</x:v>
      </x:c>
      <x:c r="I223" s="34" t="str">
        <x:f>IF(H223=0,"",H223/24)</x:f>
      </x:c>
      <x:c r="J223"/>
      <x:c r="K223" s="22" t="str">
        <x:f>IF(B223="","",START_HERE!$B$7)</x:f>
      </x:c>
      <x:c r="L223" s="22" t="str">
        <x:f>IF(B223="","",ROUND(K223-H223,2))</x:f>
      </x:c>
      <x:c r="M223"/>
      <x:c r="N223" t="str">
        <x:f>IF(B223="","",IF(J223&lt;&gt;"Completed","Not counted",IF(H223&lt;=0,"CHECK TIME","OK")))</x:f>
      </x:c>
    </x:row>
    <x:row r="224">
      <x:c r="A224" t="str">
        <x:f>IF(B224="","",ROW()-1)</x:f>
      </x:c>
      <x:c r="B224" s="24"/>
      <x:c r="C224" t="str">
        <x:f>IF(B224="","",TEXT(B224,"mmm-yyyy"))</x:f>
      </x:c>
      <x:c r="D224" t="str">
        <x:f>IF(B224="","",TEXT(B224,"ddd"))</x:f>
      </x:c>
      <x:c r="E224" s="32"/>
      <x:c r="F224" s="32"/>
      <x:c r="G224"/>
      <x:c r="H224" s="22" t="n">
        <x:f>IF(OR(B224="",J224&lt;&gt;"Completed"),0,IF(AND(ISNUMBER(E224),ISNUMBER(F224)),ROUND(((F224-E224)+(F224&lt;E224))*24-(N(G224)/60),2),0))</x:f>
        <x:v>0</x:v>
      </x:c>
      <x:c r="I224" s="34" t="str">
        <x:f>IF(H224=0,"",H224/24)</x:f>
      </x:c>
      <x:c r="J224"/>
      <x:c r="K224" s="22" t="str">
        <x:f>IF(B224="","",START_HERE!$B$7)</x:f>
      </x:c>
      <x:c r="L224" s="22" t="str">
        <x:f>IF(B224="","",ROUND(K224-H224,2))</x:f>
      </x:c>
      <x:c r="M224"/>
      <x:c r="N224" t="str">
        <x:f>IF(B224="","",IF(J224&lt;&gt;"Completed","Not counted",IF(H224&lt;=0,"CHECK TIME","OK")))</x:f>
      </x:c>
    </x:row>
    <x:row r="225">
      <x:c r="A225" t="str">
        <x:f>IF(B225="","",ROW()-1)</x:f>
      </x:c>
      <x:c r="B225" s="24"/>
      <x:c r="C225" t="str">
        <x:f>IF(B225="","",TEXT(B225,"mmm-yyyy"))</x:f>
      </x:c>
      <x:c r="D225" t="str">
        <x:f>IF(B225="","",TEXT(B225,"ddd"))</x:f>
      </x:c>
      <x:c r="E225" s="32"/>
      <x:c r="F225" s="32"/>
      <x:c r="G225"/>
      <x:c r="H225" s="22" t="n">
        <x:f>IF(OR(B225="",J225&lt;&gt;"Completed"),0,IF(AND(ISNUMBER(E225),ISNUMBER(F225)),ROUND(((F225-E225)+(F225&lt;E225))*24-(N(G225)/60),2),0))</x:f>
        <x:v>0</x:v>
      </x:c>
      <x:c r="I225" s="34" t="str">
        <x:f>IF(H225=0,"",H225/24)</x:f>
      </x:c>
      <x:c r="J225"/>
      <x:c r="K225" s="22" t="str">
        <x:f>IF(B225="","",START_HERE!$B$7)</x:f>
      </x:c>
      <x:c r="L225" s="22" t="str">
        <x:f>IF(B225="","",ROUND(K225-H225,2))</x:f>
      </x:c>
      <x:c r="M225"/>
      <x:c r="N225" t="str">
        <x:f>IF(B225="","",IF(J225&lt;&gt;"Completed","Not counted",IF(H225&lt;=0,"CHECK TIME","OK")))</x:f>
      </x:c>
    </x:row>
    <x:row r="226">
      <x:c r="A226" t="str">
        <x:f>IF(B226="","",ROW()-1)</x:f>
      </x:c>
      <x:c r="B226" s="24"/>
      <x:c r="C226" t="str">
        <x:f>IF(B226="","",TEXT(B226,"mmm-yyyy"))</x:f>
      </x:c>
      <x:c r="D226" t="str">
        <x:f>IF(B226="","",TEXT(B226,"ddd"))</x:f>
      </x:c>
      <x:c r="E226" s="32"/>
      <x:c r="F226" s="32"/>
      <x:c r="G226"/>
      <x:c r="H226" s="22" t="n">
        <x:f>IF(OR(B226="",J226&lt;&gt;"Completed"),0,IF(AND(ISNUMBER(E226),ISNUMBER(F226)),ROUND(((F226-E226)+(F226&lt;E226))*24-(N(G226)/60),2),0))</x:f>
        <x:v>0</x:v>
      </x:c>
      <x:c r="I226" s="34" t="str">
        <x:f>IF(H226=0,"",H226/24)</x:f>
      </x:c>
      <x:c r="J226"/>
      <x:c r="K226" s="22" t="str">
        <x:f>IF(B226="","",START_HERE!$B$7)</x:f>
      </x:c>
      <x:c r="L226" s="22" t="str">
        <x:f>IF(B226="","",ROUND(K226-H226,2))</x:f>
      </x:c>
      <x:c r="M226"/>
      <x:c r="N226" t="str">
        <x:f>IF(B226="","",IF(J226&lt;&gt;"Completed","Not counted",IF(H226&lt;=0,"CHECK TIME","OK")))</x:f>
      </x:c>
    </x:row>
    <x:row r="227">
      <x:c r="A227" t="str">
        <x:f>IF(B227="","",ROW()-1)</x:f>
      </x:c>
      <x:c r="B227" s="24"/>
      <x:c r="C227" t="str">
        <x:f>IF(B227="","",TEXT(B227,"mmm-yyyy"))</x:f>
      </x:c>
      <x:c r="D227" t="str">
        <x:f>IF(B227="","",TEXT(B227,"ddd"))</x:f>
      </x:c>
      <x:c r="E227" s="32"/>
      <x:c r="F227" s="32"/>
      <x:c r="G227"/>
      <x:c r="H227" s="22" t="n">
        <x:f>IF(OR(B227="",J227&lt;&gt;"Completed"),0,IF(AND(ISNUMBER(E227),ISNUMBER(F227)),ROUND(((F227-E227)+(F227&lt;E227))*24-(N(G227)/60),2),0))</x:f>
        <x:v>0</x:v>
      </x:c>
      <x:c r="I227" s="34" t="str">
        <x:f>IF(H227=0,"",H227/24)</x:f>
      </x:c>
      <x:c r="J227"/>
      <x:c r="K227" s="22" t="str">
        <x:f>IF(B227="","",START_HERE!$B$7)</x:f>
      </x:c>
      <x:c r="L227" s="22" t="str">
        <x:f>IF(B227="","",ROUND(K227-H227,2))</x:f>
      </x:c>
      <x:c r="M227"/>
      <x:c r="N227" t="str">
        <x:f>IF(B227="","",IF(J227&lt;&gt;"Completed","Not counted",IF(H227&lt;=0,"CHECK TIME","OK")))</x:f>
      </x:c>
    </x:row>
    <x:row r="228">
      <x:c r="A228" t="str">
        <x:f>IF(B228="","",ROW()-1)</x:f>
      </x:c>
      <x:c r="B228" s="24"/>
      <x:c r="C228" t="str">
        <x:f>IF(B228="","",TEXT(B228,"mmm-yyyy"))</x:f>
      </x:c>
      <x:c r="D228" t="str">
        <x:f>IF(B228="","",TEXT(B228,"ddd"))</x:f>
      </x:c>
      <x:c r="E228" s="32"/>
      <x:c r="F228" s="32"/>
      <x:c r="G228"/>
      <x:c r="H228" s="22" t="n">
        <x:f>IF(OR(B228="",J228&lt;&gt;"Completed"),0,IF(AND(ISNUMBER(E228),ISNUMBER(F228)),ROUND(((F228-E228)+(F228&lt;E228))*24-(N(G228)/60),2),0))</x:f>
        <x:v>0</x:v>
      </x:c>
      <x:c r="I228" s="34" t="str">
        <x:f>IF(H228=0,"",H228/24)</x:f>
      </x:c>
      <x:c r="J228"/>
      <x:c r="K228" s="22" t="str">
        <x:f>IF(B228="","",START_HERE!$B$7)</x:f>
      </x:c>
      <x:c r="L228" s="22" t="str">
        <x:f>IF(B228="","",ROUND(K228-H228,2))</x:f>
      </x:c>
      <x:c r="M228"/>
      <x:c r="N228" t="str">
        <x:f>IF(B228="","",IF(J228&lt;&gt;"Completed","Not counted",IF(H228&lt;=0,"CHECK TIME","OK")))</x:f>
      </x:c>
    </x:row>
    <x:row r="229">
      <x:c r="A229" t="str">
        <x:f>IF(B229="","",ROW()-1)</x:f>
      </x:c>
      <x:c r="B229" s="24"/>
      <x:c r="C229" t="str">
        <x:f>IF(B229="","",TEXT(B229,"mmm-yyyy"))</x:f>
      </x:c>
      <x:c r="D229" t="str">
        <x:f>IF(B229="","",TEXT(B229,"ddd"))</x:f>
      </x:c>
      <x:c r="E229" s="32"/>
      <x:c r="F229" s="32"/>
      <x:c r="G229"/>
      <x:c r="H229" s="22" t="n">
        <x:f>IF(OR(B229="",J229&lt;&gt;"Completed"),0,IF(AND(ISNUMBER(E229),ISNUMBER(F229)),ROUND(((F229-E229)+(F229&lt;E229))*24-(N(G229)/60),2),0))</x:f>
        <x:v>0</x:v>
      </x:c>
      <x:c r="I229" s="34" t="str">
        <x:f>IF(H229=0,"",H229/24)</x:f>
      </x:c>
      <x:c r="J229"/>
      <x:c r="K229" s="22" t="str">
        <x:f>IF(B229="","",START_HERE!$B$7)</x:f>
      </x:c>
      <x:c r="L229" s="22" t="str">
        <x:f>IF(B229="","",ROUND(K229-H229,2))</x:f>
      </x:c>
      <x:c r="M229"/>
      <x:c r="N229" t="str">
        <x:f>IF(B229="","",IF(J229&lt;&gt;"Completed","Not counted",IF(H229&lt;=0,"CHECK TIME","OK")))</x:f>
      </x:c>
    </x:row>
    <x:row r="230">
      <x:c r="A230" t="str">
        <x:f>IF(B230="","",ROW()-1)</x:f>
      </x:c>
      <x:c r="B230" s="24"/>
      <x:c r="C230" t="str">
        <x:f>IF(B230="","",TEXT(B230,"mmm-yyyy"))</x:f>
      </x:c>
      <x:c r="D230" t="str">
        <x:f>IF(B230="","",TEXT(B230,"ddd"))</x:f>
      </x:c>
      <x:c r="E230" s="32"/>
      <x:c r="F230" s="32"/>
      <x:c r="G230"/>
      <x:c r="H230" s="22" t="n">
        <x:f>IF(OR(B230="",J230&lt;&gt;"Completed"),0,IF(AND(ISNUMBER(E230),ISNUMBER(F230)),ROUND(((F230-E230)+(F230&lt;E230))*24-(N(G230)/60),2),0))</x:f>
        <x:v>0</x:v>
      </x:c>
      <x:c r="I230" s="34" t="str">
        <x:f>IF(H230=0,"",H230/24)</x:f>
      </x:c>
      <x:c r="J230"/>
      <x:c r="K230" s="22" t="str">
        <x:f>IF(B230="","",START_HERE!$B$7)</x:f>
      </x:c>
      <x:c r="L230" s="22" t="str">
        <x:f>IF(B230="","",ROUND(K230-H230,2))</x:f>
      </x:c>
      <x:c r="M230"/>
      <x:c r="N230" t="str">
        <x:f>IF(B230="","",IF(J230&lt;&gt;"Completed","Not counted",IF(H230&lt;=0,"CHECK TIME","OK")))</x:f>
      </x:c>
    </x:row>
    <x:row r="231">
      <x:c r="A231" t="str">
        <x:f>IF(B231="","",ROW()-1)</x:f>
      </x:c>
      <x:c r="B231" s="24"/>
      <x:c r="C231" t="str">
        <x:f>IF(B231="","",TEXT(B231,"mmm-yyyy"))</x:f>
      </x:c>
      <x:c r="D231" t="str">
        <x:f>IF(B231="","",TEXT(B231,"ddd"))</x:f>
      </x:c>
      <x:c r="E231" s="32"/>
      <x:c r="F231" s="32"/>
      <x:c r="G231"/>
      <x:c r="H231" s="22" t="n">
        <x:f>IF(OR(B231="",J231&lt;&gt;"Completed"),0,IF(AND(ISNUMBER(E231),ISNUMBER(F231)),ROUND(((F231-E231)+(F231&lt;E231))*24-(N(G231)/60),2),0))</x:f>
        <x:v>0</x:v>
      </x:c>
      <x:c r="I231" s="34" t="str">
        <x:f>IF(H231=0,"",H231/24)</x:f>
      </x:c>
      <x:c r="J231"/>
      <x:c r="K231" s="22" t="str">
        <x:f>IF(B231="","",START_HERE!$B$7)</x:f>
      </x:c>
      <x:c r="L231" s="22" t="str">
        <x:f>IF(B231="","",ROUND(K231-H231,2))</x:f>
      </x:c>
      <x:c r="M231"/>
      <x:c r="N231" t="str">
        <x:f>IF(B231="","",IF(J231&lt;&gt;"Completed","Not counted",IF(H231&lt;=0,"CHECK TIME","OK")))</x:f>
      </x:c>
    </x:row>
    <x:row r="232">
      <x:c r="A232" t="str">
        <x:f>IF(B232="","",ROW()-1)</x:f>
      </x:c>
      <x:c r="B232" s="24"/>
      <x:c r="C232" t="str">
        <x:f>IF(B232="","",TEXT(B232,"mmm-yyyy"))</x:f>
      </x:c>
      <x:c r="D232" t="str">
        <x:f>IF(B232="","",TEXT(B232,"ddd"))</x:f>
      </x:c>
      <x:c r="E232" s="32"/>
      <x:c r="F232" s="32"/>
      <x:c r="G232"/>
      <x:c r="H232" s="22" t="n">
        <x:f>IF(OR(B232="",J232&lt;&gt;"Completed"),0,IF(AND(ISNUMBER(E232),ISNUMBER(F232)),ROUND(((F232-E232)+(F232&lt;E232))*24-(N(G232)/60),2),0))</x:f>
        <x:v>0</x:v>
      </x:c>
      <x:c r="I232" s="34" t="str">
        <x:f>IF(H232=0,"",H232/24)</x:f>
      </x:c>
      <x:c r="J232"/>
      <x:c r="K232" s="22" t="str">
        <x:f>IF(B232="","",START_HERE!$B$7)</x:f>
      </x:c>
      <x:c r="L232" s="22" t="str">
        <x:f>IF(B232="","",ROUND(K232-H232,2))</x:f>
      </x:c>
      <x:c r="M232"/>
      <x:c r="N232" t="str">
        <x:f>IF(B232="","",IF(J232&lt;&gt;"Completed","Not counted",IF(H232&lt;=0,"CHECK TIME","OK")))</x:f>
      </x:c>
    </x:row>
    <x:row r="233">
      <x:c r="A233" t="str">
        <x:f>IF(B233="","",ROW()-1)</x:f>
      </x:c>
      <x:c r="B233" s="24"/>
      <x:c r="C233" t="str">
        <x:f>IF(B233="","",TEXT(B233,"mmm-yyyy"))</x:f>
      </x:c>
      <x:c r="D233" t="str">
        <x:f>IF(B233="","",TEXT(B233,"ddd"))</x:f>
      </x:c>
      <x:c r="E233" s="32"/>
      <x:c r="F233" s="32"/>
      <x:c r="G233"/>
      <x:c r="H233" s="22" t="n">
        <x:f>IF(OR(B233="",J233&lt;&gt;"Completed"),0,IF(AND(ISNUMBER(E233),ISNUMBER(F233)),ROUND(((F233-E233)+(F233&lt;E233))*24-(N(G233)/60),2),0))</x:f>
        <x:v>0</x:v>
      </x:c>
      <x:c r="I233" s="34" t="str">
        <x:f>IF(H233=0,"",H233/24)</x:f>
      </x:c>
      <x:c r="J233"/>
      <x:c r="K233" s="22" t="str">
        <x:f>IF(B233="","",START_HERE!$B$7)</x:f>
      </x:c>
      <x:c r="L233" s="22" t="str">
        <x:f>IF(B233="","",ROUND(K233-H233,2))</x:f>
      </x:c>
      <x:c r="M233"/>
      <x:c r="N233" t="str">
        <x:f>IF(B233="","",IF(J233&lt;&gt;"Completed","Not counted",IF(H233&lt;=0,"CHECK TIME","OK")))</x:f>
      </x:c>
    </x:row>
    <x:row r="234">
      <x:c r="A234" t="str">
        <x:f>IF(B234="","",ROW()-1)</x:f>
      </x:c>
      <x:c r="B234" s="24"/>
      <x:c r="C234" t="str">
        <x:f>IF(B234="","",TEXT(B234,"mmm-yyyy"))</x:f>
      </x:c>
      <x:c r="D234" t="str">
        <x:f>IF(B234="","",TEXT(B234,"ddd"))</x:f>
      </x:c>
      <x:c r="E234" s="32"/>
      <x:c r="F234" s="32"/>
      <x:c r="G234"/>
      <x:c r="H234" s="22" t="n">
        <x:f>IF(OR(B234="",J234&lt;&gt;"Completed"),0,IF(AND(ISNUMBER(E234),ISNUMBER(F234)),ROUND(((F234-E234)+(F234&lt;E234))*24-(N(G234)/60),2),0))</x:f>
        <x:v>0</x:v>
      </x:c>
      <x:c r="I234" s="34" t="str">
        <x:f>IF(H234=0,"",H234/24)</x:f>
      </x:c>
      <x:c r="J234"/>
      <x:c r="K234" s="22" t="str">
        <x:f>IF(B234="","",START_HERE!$B$7)</x:f>
      </x:c>
      <x:c r="L234" s="22" t="str">
        <x:f>IF(B234="","",ROUND(K234-H234,2))</x:f>
      </x:c>
      <x:c r="M234"/>
      <x:c r="N234" t="str">
        <x:f>IF(B234="","",IF(J234&lt;&gt;"Completed","Not counted",IF(H234&lt;=0,"CHECK TIME","OK")))</x:f>
      </x:c>
    </x:row>
    <x:row r="235">
      <x:c r="A235" t="str">
        <x:f>IF(B235="","",ROW()-1)</x:f>
      </x:c>
      <x:c r="B235" s="24"/>
      <x:c r="C235" t="str">
        <x:f>IF(B235="","",TEXT(B235,"mmm-yyyy"))</x:f>
      </x:c>
      <x:c r="D235" t="str">
        <x:f>IF(B235="","",TEXT(B235,"ddd"))</x:f>
      </x:c>
      <x:c r="E235" s="32"/>
      <x:c r="F235" s="32"/>
      <x:c r="G235"/>
      <x:c r="H235" s="22" t="n">
        <x:f>IF(OR(B235="",J235&lt;&gt;"Completed"),0,IF(AND(ISNUMBER(E235),ISNUMBER(F235)),ROUND(((F235-E235)+(F235&lt;E235))*24-(N(G235)/60),2),0))</x:f>
        <x:v>0</x:v>
      </x:c>
      <x:c r="I235" s="34" t="str">
        <x:f>IF(H235=0,"",H235/24)</x:f>
      </x:c>
      <x:c r="J235"/>
      <x:c r="K235" s="22" t="str">
        <x:f>IF(B235="","",START_HERE!$B$7)</x:f>
      </x:c>
      <x:c r="L235" s="22" t="str">
        <x:f>IF(B235="","",ROUND(K235-H235,2))</x:f>
      </x:c>
      <x:c r="M235"/>
      <x:c r="N235" t="str">
        <x:f>IF(B235="","",IF(J235&lt;&gt;"Completed","Not counted",IF(H235&lt;=0,"CHECK TIME","OK")))</x:f>
      </x:c>
    </x:row>
    <x:row r="236">
      <x:c r="A236" t="str">
        <x:f>IF(B236="","",ROW()-1)</x:f>
      </x:c>
      <x:c r="B236" s="24"/>
      <x:c r="C236" t="str">
        <x:f>IF(B236="","",TEXT(B236,"mmm-yyyy"))</x:f>
      </x:c>
      <x:c r="D236" t="str">
        <x:f>IF(B236="","",TEXT(B236,"ddd"))</x:f>
      </x:c>
      <x:c r="E236" s="32"/>
      <x:c r="F236" s="32"/>
      <x:c r="G236"/>
      <x:c r="H236" s="22" t="n">
        <x:f>IF(OR(B236="",J236&lt;&gt;"Completed"),0,IF(AND(ISNUMBER(E236),ISNUMBER(F236)),ROUND(((F236-E236)+(F236&lt;E236))*24-(N(G236)/60),2),0))</x:f>
        <x:v>0</x:v>
      </x:c>
      <x:c r="I236" s="34" t="str">
        <x:f>IF(H236=0,"",H236/24)</x:f>
      </x:c>
      <x:c r="J236"/>
      <x:c r="K236" s="22" t="str">
        <x:f>IF(B236="","",START_HERE!$B$7)</x:f>
      </x:c>
      <x:c r="L236" s="22" t="str">
        <x:f>IF(B236="","",ROUND(K236-H236,2))</x:f>
      </x:c>
      <x:c r="M236"/>
      <x:c r="N236" t="str">
        <x:f>IF(B236="","",IF(J236&lt;&gt;"Completed","Not counted",IF(H236&lt;=0,"CHECK TIME","OK")))</x:f>
      </x:c>
    </x:row>
    <x:row r="237">
      <x:c r="A237" t="str">
        <x:f>IF(B237="","",ROW()-1)</x:f>
      </x:c>
      <x:c r="B237" s="24"/>
      <x:c r="C237" t="str">
        <x:f>IF(B237="","",TEXT(B237,"mmm-yyyy"))</x:f>
      </x:c>
      <x:c r="D237" t="str">
        <x:f>IF(B237="","",TEXT(B237,"ddd"))</x:f>
      </x:c>
      <x:c r="E237" s="32"/>
      <x:c r="F237" s="32"/>
      <x:c r="G237"/>
      <x:c r="H237" s="22" t="n">
        <x:f>IF(OR(B237="",J237&lt;&gt;"Completed"),0,IF(AND(ISNUMBER(E237),ISNUMBER(F237)),ROUND(((F237-E237)+(F237&lt;E237))*24-(N(G237)/60),2),0))</x:f>
        <x:v>0</x:v>
      </x:c>
      <x:c r="I237" s="34" t="str">
        <x:f>IF(H237=0,"",H237/24)</x:f>
      </x:c>
      <x:c r="J237"/>
      <x:c r="K237" s="22" t="str">
        <x:f>IF(B237="","",START_HERE!$B$7)</x:f>
      </x:c>
      <x:c r="L237" s="22" t="str">
        <x:f>IF(B237="","",ROUND(K237-H237,2))</x:f>
      </x:c>
      <x:c r="M237"/>
      <x:c r="N237" t="str">
        <x:f>IF(B237="","",IF(J237&lt;&gt;"Completed","Not counted",IF(H237&lt;=0,"CHECK TIME","OK")))</x:f>
      </x:c>
    </x:row>
    <x:row r="238">
      <x:c r="A238" t="str">
        <x:f>IF(B238="","",ROW()-1)</x:f>
      </x:c>
      <x:c r="B238" s="24"/>
      <x:c r="C238" t="str">
        <x:f>IF(B238="","",TEXT(B238,"mmm-yyyy"))</x:f>
      </x:c>
      <x:c r="D238" t="str">
        <x:f>IF(B238="","",TEXT(B238,"ddd"))</x:f>
      </x:c>
      <x:c r="E238" s="32"/>
      <x:c r="F238" s="32"/>
      <x:c r="G238"/>
      <x:c r="H238" s="22" t="n">
        <x:f>IF(OR(B238="",J238&lt;&gt;"Completed"),0,IF(AND(ISNUMBER(E238),ISNUMBER(F238)),ROUND(((F238-E238)+(F238&lt;E238))*24-(N(G238)/60),2),0))</x:f>
        <x:v>0</x:v>
      </x:c>
      <x:c r="I238" s="34" t="str">
        <x:f>IF(H238=0,"",H238/24)</x:f>
      </x:c>
      <x:c r="J238"/>
      <x:c r="K238" s="22" t="str">
        <x:f>IF(B238="","",START_HERE!$B$7)</x:f>
      </x:c>
      <x:c r="L238" s="22" t="str">
        <x:f>IF(B238="","",ROUND(K238-H238,2))</x:f>
      </x:c>
      <x:c r="M238"/>
      <x:c r="N238" t="str">
        <x:f>IF(B238="","",IF(J238&lt;&gt;"Completed","Not counted",IF(H238&lt;=0,"CHECK TIME","OK")))</x:f>
      </x:c>
    </x:row>
    <x:row r="239">
      <x:c r="A239" t="str">
        <x:f>IF(B239="","",ROW()-1)</x:f>
      </x:c>
      <x:c r="B239" s="24"/>
      <x:c r="C239" t="str">
        <x:f>IF(B239="","",TEXT(B239,"mmm-yyyy"))</x:f>
      </x:c>
      <x:c r="D239" t="str">
        <x:f>IF(B239="","",TEXT(B239,"ddd"))</x:f>
      </x:c>
      <x:c r="E239" s="32"/>
      <x:c r="F239" s="32"/>
      <x:c r="G239"/>
      <x:c r="H239" s="22" t="n">
        <x:f>IF(OR(B239="",J239&lt;&gt;"Completed"),0,IF(AND(ISNUMBER(E239),ISNUMBER(F239)),ROUND(((F239-E239)+(F239&lt;E239))*24-(N(G239)/60),2),0))</x:f>
        <x:v>0</x:v>
      </x:c>
      <x:c r="I239" s="34" t="str">
        <x:f>IF(H239=0,"",H239/24)</x:f>
      </x:c>
      <x:c r="J239"/>
      <x:c r="K239" s="22" t="str">
        <x:f>IF(B239="","",START_HERE!$B$7)</x:f>
      </x:c>
      <x:c r="L239" s="22" t="str">
        <x:f>IF(B239="","",ROUND(K239-H239,2))</x:f>
      </x:c>
      <x:c r="M239"/>
      <x:c r="N239" t="str">
        <x:f>IF(B239="","",IF(J239&lt;&gt;"Completed","Not counted",IF(H239&lt;=0,"CHECK TIME","OK")))</x:f>
      </x:c>
    </x:row>
    <x:row r="240">
      <x:c r="A240" t="str">
        <x:f>IF(B240="","",ROW()-1)</x:f>
      </x:c>
      <x:c r="B240" s="24"/>
      <x:c r="C240" t="str">
        <x:f>IF(B240="","",TEXT(B240,"mmm-yyyy"))</x:f>
      </x:c>
      <x:c r="D240" t="str">
        <x:f>IF(B240="","",TEXT(B240,"ddd"))</x:f>
      </x:c>
      <x:c r="E240" s="32"/>
      <x:c r="F240" s="32"/>
      <x:c r="G240"/>
      <x:c r="H240" s="22" t="n">
        <x:f>IF(OR(B240="",J240&lt;&gt;"Completed"),0,IF(AND(ISNUMBER(E240),ISNUMBER(F240)),ROUND(((F240-E240)+(F240&lt;E240))*24-(N(G240)/60),2),0))</x:f>
        <x:v>0</x:v>
      </x:c>
      <x:c r="I240" s="34" t="str">
        <x:f>IF(H240=0,"",H240/24)</x:f>
      </x:c>
      <x:c r="J240"/>
      <x:c r="K240" s="22" t="str">
        <x:f>IF(B240="","",START_HERE!$B$7)</x:f>
      </x:c>
      <x:c r="L240" s="22" t="str">
        <x:f>IF(B240="","",ROUND(K240-H240,2))</x:f>
      </x:c>
      <x:c r="M240"/>
      <x:c r="N240" t="str">
        <x:f>IF(B240="","",IF(J240&lt;&gt;"Completed","Not counted",IF(H240&lt;=0,"CHECK TIME","OK")))</x:f>
      </x:c>
    </x:row>
    <x:row r="241">
      <x:c r="A241" t="str">
        <x:f>IF(B241="","",ROW()-1)</x:f>
      </x:c>
      <x:c r="B241" s="24"/>
      <x:c r="C241" t="str">
        <x:f>IF(B241="","",TEXT(B241,"mmm-yyyy"))</x:f>
      </x:c>
      <x:c r="D241" t="str">
        <x:f>IF(B241="","",TEXT(B241,"ddd"))</x:f>
      </x:c>
      <x:c r="E241" s="32"/>
      <x:c r="F241" s="32"/>
      <x:c r="G241"/>
      <x:c r="H241" s="22" t="n">
        <x:f>IF(OR(B241="",J241&lt;&gt;"Completed"),0,IF(AND(ISNUMBER(E241),ISNUMBER(F241)),ROUND(((F241-E241)+(F241&lt;E241))*24-(N(G241)/60),2),0))</x:f>
        <x:v>0</x:v>
      </x:c>
      <x:c r="I241" s="34" t="str">
        <x:f>IF(H241=0,"",H241/24)</x:f>
      </x:c>
      <x:c r="J241"/>
      <x:c r="K241" s="22" t="str">
        <x:f>IF(B241="","",START_HERE!$B$7)</x:f>
      </x:c>
      <x:c r="L241" s="22" t="str">
        <x:f>IF(B241="","",ROUND(K241-H241,2))</x:f>
      </x:c>
      <x:c r="M241"/>
      <x:c r="N241" t="str">
        <x:f>IF(B241="","",IF(J241&lt;&gt;"Completed","Not counted",IF(H241&lt;=0,"CHECK TIME","OK")))</x:f>
      </x:c>
    </x:row>
    <x:row r="242">
      <x:c r="A242" t="str">
        <x:f>IF(B242="","",ROW()-1)</x:f>
      </x:c>
      <x:c r="B242" s="24"/>
      <x:c r="C242" t="str">
        <x:f>IF(B242="","",TEXT(B242,"mmm-yyyy"))</x:f>
      </x:c>
      <x:c r="D242" t="str">
        <x:f>IF(B242="","",TEXT(B242,"ddd"))</x:f>
      </x:c>
      <x:c r="E242" s="32"/>
      <x:c r="F242" s="32"/>
      <x:c r="G242"/>
      <x:c r="H242" s="22" t="n">
        <x:f>IF(OR(B242="",J242&lt;&gt;"Completed"),0,IF(AND(ISNUMBER(E242),ISNUMBER(F242)),ROUND(((F242-E242)+(F242&lt;E242))*24-(N(G242)/60),2),0))</x:f>
        <x:v>0</x:v>
      </x:c>
      <x:c r="I242" s="34" t="str">
        <x:f>IF(H242=0,"",H242/24)</x:f>
      </x:c>
      <x:c r="J242"/>
      <x:c r="K242" s="22" t="str">
        <x:f>IF(B242="","",START_HERE!$B$7)</x:f>
      </x:c>
      <x:c r="L242" s="22" t="str">
        <x:f>IF(B242="","",ROUND(K242-H242,2))</x:f>
      </x:c>
      <x:c r="M242"/>
      <x:c r="N242" t="str">
        <x:f>IF(B242="","",IF(J242&lt;&gt;"Completed","Not counted",IF(H242&lt;=0,"CHECK TIME","OK")))</x:f>
      </x:c>
    </x:row>
    <x:row r="243">
      <x:c r="A243" t="str">
        <x:f>IF(B243="","",ROW()-1)</x:f>
      </x:c>
      <x:c r="B243" s="24"/>
      <x:c r="C243" t="str">
        <x:f>IF(B243="","",TEXT(B243,"mmm-yyyy"))</x:f>
      </x:c>
      <x:c r="D243" t="str">
        <x:f>IF(B243="","",TEXT(B243,"ddd"))</x:f>
      </x:c>
      <x:c r="E243" s="32"/>
      <x:c r="F243" s="32"/>
      <x:c r="G243"/>
      <x:c r="H243" s="22" t="n">
        <x:f>IF(OR(B243="",J243&lt;&gt;"Completed"),0,IF(AND(ISNUMBER(E243),ISNUMBER(F243)),ROUND(((F243-E243)+(F243&lt;E243))*24-(N(G243)/60),2),0))</x:f>
        <x:v>0</x:v>
      </x:c>
      <x:c r="I243" s="34" t="str">
        <x:f>IF(H243=0,"",H243/24)</x:f>
      </x:c>
      <x:c r="J243"/>
      <x:c r="K243" s="22" t="str">
        <x:f>IF(B243="","",START_HERE!$B$7)</x:f>
      </x:c>
      <x:c r="L243" s="22" t="str">
        <x:f>IF(B243="","",ROUND(K243-H243,2))</x:f>
      </x:c>
      <x:c r="M243"/>
      <x:c r="N243" t="str">
        <x:f>IF(B243="","",IF(J243&lt;&gt;"Completed","Not counted",IF(H243&lt;=0,"CHECK TIME","OK")))</x:f>
      </x:c>
    </x:row>
    <x:row r="244">
      <x:c r="A244" t="str">
        <x:f>IF(B244="","",ROW()-1)</x:f>
      </x:c>
      <x:c r="B244" s="24"/>
      <x:c r="C244" t="str">
        <x:f>IF(B244="","",TEXT(B244,"mmm-yyyy"))</x:f>
      </x:c>
      <x:c r="D244" t="str">
        <x:f>IF(B244="","",TEXT(B244,"ddd"))</x:f>
      </x:c>
      <x:c r="E244" s="32"/>
      <x:c r="F244" s="32"/>
      <x:c r="G244"/>
      <x:c r="H244" s="22" t="n">
        <x:f>IF(OR(B244="",J244&lt;&gt;"Completed"),0,IF(AND(ISNUMBER(E244),ISNUMBER(F244)),ROUND(((F244-E244)+(F244&lt;E244))*24-(N(G244)/60),2),0))</x:f>
        <x:v>0</x:v>
      </x:c>
      <x:c r="I244" s="34" t="str">
        <x:f>IF(H244=0,"",H244/24)</x:f>
      </x:c>
      <x:c r="J244"/>
      <x:c r="K244" s="22" t="str">
        <x:f>IF(B244="","",START_HERE!$B$7)</x:f>
      </x:c>
      <x:c r="L244" s="22" t="str">
        <x:f>IF(B244="","",ROUND(K244-H244,2))</x:f>
      </x:c>
      <x:c r="M244"/>
      <x:c r="N244" t="str">
        <x:f>IF(B244="","",IF(J244&lt;&gt;"Completed","Not counted",IF(H244&lt;=0,"CHECK TIME","OK")))</x:f>
      </x:c>
    </x:row>
    <x:row r="245">
      <x:c r="A245" t="str">
        <x:f>IF(B245="","",ROW()-1)</x:f>
      </x:c>
      <x:c r="B245" s="24"/>
      <x:c r="C245" t="str">
        <x:f>IF(B245="","",TEXT(B245,"mmm-yyyy"))</x:f>
      </x:c>
      <x:c r="D245" t="str">
        <x:f>IF(B245="","",TEXT(B245,"ddd"))</x:f>
      </x:c>
      <x:c r="E245" s="32"/>
      <x:c r="F245" s="32"/>
      <x:c r="G245"/>
      <x:c r="H245" s="22" t="n">
        <x:f>IF(OR(B245="",J245&lt;&gt;"Completed"),0,IF(AND(ISNUMBER(E245),ISNUMBER(F245)),ROUND(((F245-E245)+(F245&lt;E245))*24-(N(G245)/60),2),0))</x:f>
        <x:v>0</x:v>
      </x:c>
      <x:c r="I245" s="34" t="str">
        <x:f>IF(H245=0,"",H245/24)</x:f>
      </x:c>
      <x:c r="J245"/>
      <x:c r="K245" s="22" t="str">
        <x:f>IF(B245="","",START_HERE!$B$7)</x:f>
      </x:c>
      <x:c r="L245" s="22" t="str">
        <x:f>IF(B245="","",ROUND(K245-H245,2))</x:f>
      </x:c>
      <x:c r="M245"/>
      <x:c r="N245" t="str">
        <x:f>IF(B245="","",IF(J245&lt;&gt;"Completed","Not counted",IF(H245&lt;=0,"CHECK TIME","OK")))</x:f>
      </x:c>
    </x:row>
    <x:row r="246">
      <x:c r="A246" t="str">
        <x:f>IF(B246="","",ROW()-1)</x:f>
      </x:c>
      <x:c r="B246" s="24"/>
      <x:c r="C246" t="str">
        <x:f>IF(B246="","",TEXT(B246,"mmm-yyyy"))</x:f>
      </x:c>
      <x:c r="D246" t="str">
        <x:f>IF(B246="","",TEXT(B246,"ddd"))</x:f>
      </x:c>
      <x:c r="E246" s="32"/>
      <x:c r="F246" s="32"/>
      <x:c r="G246"/>
      <x:c r="H246" s="22" t="n">
        <x:f>IF(OR(B246="",J246&lt;&gt;"Completed"),0,IF(AND(ISNUMBER(E246),ISNUMBER(F246)),ROUND(((F246-E246)+(F246&lt;E246))*24-(N(G246)/60),2),0))</x:f>
        <x:v>0</x:v>
      </x:c>
      <x:c r="I246" s="34" t="str">
        <x:f>IF(H246=0,"",H246/24)</x:f>
      </x:c>
      <x:c r="J246"/>
      <x:c r="K246" s="22" t="str">
        <x:f>IF(B246="","",START_HERE!$B$7)</x:f>
      </x:c>
      <x:c r="L246" s="22" t="str">
        <x:f>IF(B246="","",ROUND(K246-H246,2))</x:f>
      </x:c>
      <x:c r="M246"/>
      <x:c r="N246" t="str">
        <x:f>IF(B246="","",IF(J246&lt;&gt;"Completed","Not counted",IF(H246&lt;=0,"CHECK TIME","OK")))</x:f>
      </x:c>
    </x:row>
    <x:row r="247">
      <x:c r="A247" t="str">
        <x:f>IF(B247="","",ROW()-1)</x:f>
      </x:c>
      <x:c r="B247" s="24"/>
      <x:c r="C247" t="str">
        <x:f>IF(B247="","",TEXT(B247,"mmm-yyyy"))</x:f>
      </x:c>
      <x:c r="D247" t="str">
        <x:f>IF(B247="","",TEXT(B247,"ddd"))</x:f>
      </x:c>
      <x:c r="E247" s="32"/>
      <x:c r="F247" s="32"/>
      <x:c r="G247"/>
      <x:c r="H247" s="22" t="n">
        <x:f>IF(OR(B247="",J247&lt;&gt;"Completed"),0,IF(AND(ISNUMBER(E247),ISNUMBER(F247)),ROUND(((F247-E247)+(F247&lt;E247))*24-(N(G247)/60),2),0))</x:f>
        <x:v>0</x:v>
      </x:c>
      <x:c r="I247" s="34" t="str">
        <x:f>IF(H247=0,"",H247/24)</x:f>
      </x:c>
      <x:c r="J247"/>
      <x:c r="K247" s="22" t="str">
        <x:f>IF(B247="","",START_HERE!$B$7)</x:f>
      </x:c>
      <x:c r="L247" s="22" t="str">
        <x:f>IF(B247="","",ROUND(K247-H247,2))</x:f>
      </x:c>
      <x:c r="M247"/>
      <x:c r="N247" t="str">
        <x:f>IF(B247="","",IF(J247&lt;&gt;"Completed","Not counted",IF(H247&lt;=0,"CHECK TIME","OK")))</x:f>
      </x:c>
    </x:row>
    <x:row r="248">
      <x:c r="A248" t="str">
        <x:f>IF(B248="","",ROW()-1)</x:f>
      </x:c>
      <x:c r="B248" s="24"/>
      <x:c r="C248" t="str">
        <x:f>IF(B248="","",TEXT(B248,"mmm-yyyy"))</x:f>
      </x:c>
      <x:c r="D248" t="str">
        <x:f>IF(B248="","",TEXT(B248,"ddd"))</x:f>
      </x:c>
      <x:c r="E248" s="32"/>
      <x:c r="F248" s="32"/>
      <x:c r="G248"/>
      <x:c r="H248" s="22" t="n">
        <x:f>IF(OR(B248="",J248&lt;&gt;"Completed"),0,IF(AND(ISNUMBER(E248),ISNUMBER(F248)),ROUND(((F248-E248)+(F248&lt;E248))*24-(N(G248)/60),2),0))</x:f>
        <x:v>0</x:v>
      </x:c>
      <x:c r="I248" s="34" t="str">
        <x:f>IF(H248=0,"",H248/24)</x:f>
      </x:c>
      <x:c r="J248"/>
      <x:c r="K248" s="22" t="str">
        <x:f>IF(B248="","",START_HERE!$B$7)</x:f>
      </x:c>
      <x:c r="L248" s="22" t="str">
        <x:f>IF(B248="","",ROUND(K248-H248,2))</x:f>
      </x:c>
      <x:c r="M248"/>
      <x:c r="N248" t="str">
        <x:f>IF(B248="","",IF(J248&lt;&gt;"Completed","Not counted",IF(H248&lt;=0,"CHECK TIME","OK")))</x:f>
      </x:c>
    </x:row>
    <x:row r="249">
      <x:c r="A249" t="str">
        <x:f>IF(B249="","",ROW()-1)</x:f>
      </x:c>
      <x:c r="B249" s="24"/>
      <x:c r="C249" t="str">
        <x:f>IF(B249="","",TEXT(B249,"mmm-yyyy"))</x:f>
      </x:c>
      <x:c r="D249" t="str">
        <x:f>IF(B249="","",TEXT(B249,"ddd"))</x:f>
      </x:c>
      <x:c r="E249" s="32"/>
      <x:c r="F249" s="32"/>
      <x:c r="G249"/>
      <x:c r="H249" s="22" t="n">
        <x:f>IF(OR(B249="",J249&lt;&gt;"Completed"),0,IF(AND(ISNUMBER(E249),ISNUMBER(F249)),ROUND(((F249-E249)+(F249&lt;E249))*24-(N(G249)/60),2),0))</x:f>
        <x:v>0</x:v>
      </x:c>
      <x:c r="I249" s="34" t="str">
        <x:f>IF(H249=0,"",H249/24)</x:f>
      </x:c>
      <x:c r="J249"/>
      <x:c r="K249" s="22" t="str">
        <x:f>IF(B249="","",START_HERE!$B$7)</x:f>
      </x:c>
      <x:c r="L249" s="22" t="str">
        <x:f>IF(B249="","",ROUND(K249-H249,2))</x:f>
      </x:c>
      <x:c r="M249"/>
      <x:c r="N249" t="str">
        <x:f>IF(B249="","",IF(J249&lt;&gt;"Completed","Not counted",IF(H249&lt;=0,"CHECK TIME","OK")))</x:f>
      </x:c>
    </x:row>
    <x:row r="250">
      <x:c r="A250" t="str">
        <x:f>IF(B250="","",ROW()-1)</x:f>
      </x:c>
      <x:c r="B250" s="24"/>
      <x:c r="C250" t="str">
        <x:f>IF(B250="","",TEXT(B250,"mmm-yyyy"))</x:f>
      </x:c>
      <x:c r="D250" t="str">
        <x:f>IF(B250="","",TEXT(B250,"ddd"))</x:f>
      </x:c>
      <x:c r="E250" s="32"/>
      <x:c r="F250" s="32"/>
      <x:c r="G250"/>
      <x:c r="H250" s="22" t="n">
        <x:f>IF(OR(B250="",J250&lt;&gt;"Completed"),0,IF(AND(ISNUMBER(E250),ISNUMBER(F250)),ROUND(((F250-E250)+(F250&lt;E250))*24-(N(G250)/60),2),0))</x:f>
        <x:v>0</x:v>
      </x:c>
      <x:c r="I250" s="34" t="str">
        <x:f>IF(H250=0,"",H250/24)</x:f>
      </x:c>
      <x:c r="J250"/>
      <x:c r="K250" s="22" t="str">
        <x:f>IF(B250="","",START_HERE!$B$7)</x:f>
      </x:c>
      <x:c r="L250" s="22" t="str">
        <x:f>IF(B250="","",ROUND(K250-H250,2))</x:f>
      </x:c>
      <x:c r="M250"/>
      <x:c r="N250" t="str">
        <x:f>IF(B250="","",IF(J250&lt;&gt;"Completed","Not counted",IF(H250&lt;=0,"CHECK TIME","OK")))</x:f>
      </x:c>
    </x:row>
    <x:row r="251">
      <x:c r="A251" t="str">
        <x:f>IF(B251="","",ROW()-1)</x:f>
      </x:c>
      <x:c r="B251" s="24"/>
      <x:c r="C251" t="str">
        <x:f>IF(B251="","",TEXT(B251,"mmm-yyyy"))</x:f>
      </x:c>
      <x:c r="D251" t="str">
        <x:f>IF(B251="","",TEXT(B251,"ddd"))</x:f>
      </x:c>
      <x:c r="E251" s="32"/>
      <x:c r="F251" s="32"/>
      <x:c r="G251"/>
      <x:c r="H251" s="22" t="n">
        <x:f>IF(OR(B251="",J251&lt;&gt;"Completed"),0,IF(AND(ISNUMBER(E251),ISNUMBER(F251)),ROUND(((F251-E251)+(F251&lt;E251))*24-(N(G251)/60),2),0))</x:f>
        <x:v>0</x:v>
      </x:c>
      <x:c r="I251" s="34" t="str">
        <x:f>IF(H251=0,"",H251/24)</x:f>
      </x:c>
      <x:c r="J251"/>
      <x:c r="K251" s="22" t="str">
        <x:f>IF(B251="","",START_HERE!$B$7)</x:f>
      </x:c>
      <x:c r="L251" s="22" t="str">
        <x:f>IF(B251="","",ROUND(K251-H251,2))</x:f>
      </x:c>
      <x:c r="M251"/>
      <x:c r="N251" t="str">
        <x:f>IF(B251="","",IF(J251&lt;&gt;"Completed","Not counted",IF(H251&lt;=0,"CHECK TIME","OK")))</x:f>
      </x:c>
    </x:row>
    <x:row r="252">
      <x:c r="A252" t="str">
        <x:f>IF(B252="","",ROW()-1)</x:f>
      </x:c>
      <x:c r="B252" s="24"/>
      <x:c r="C252" t="str">
        <x:f>IF(B252="","",TEXT(B252,"mmm-yyyy"))</x:f>
      </x:c>
      <x:c r="D252" t="str">
        <x:f>IF(B252="","",TEXT(B252,"ddd"))</x:f>
      </x:c>
      <x:c r="E252" s="32"/>
      <x:c r="F252" s="32"/>
      <x:c r="G252"/>
      <x:c r="H252" s="22" t="n">
        <x:f>IF(OR(B252="",J252&lt;&gt;"Completed"),0,IF(AND(ISNUMBER(E252),ISNUMBER(F252)),ROUND(((F252-E252)+(F252&lt;E252))*24-(N(G252)/60),2),0))</x:f>
        <x:v>0</x:v>
      </x:c>
      <x:c r="I252" s="34" t="str">
        <x:f>IF(H252=0,"",H252/24)</x:f>
      </x:c>
      <x:c r="J252"/>
      <x:c r="K252" s="22" t="str">
        <x:f>IF(B252="","",START_HERE!$B$7)</x:f>
      </x:c>
      <x:c r="L252" s="22" t="str">
        <x:f>IF(B252="","",ROUND(K252-H252,2))</x:f>
      </x:c>
      <x:c r="M252"/>
      <x:c r="N252" t="str">
        <x:f>IF(B252="","",IF(J252&lt;&gt;"Completed","Not counted",IF(H252&lt;=0,"CHECK TIME","OK")))</x:f>
      </x:c>
    </x:row>
    <x:row r="253">
      <x:c r="A253" t="str">
        <x:f>IF(B253="","",ROW()-1)</x:f>
      </x:c>
      <x:c r="B253" s="24"/>
      <x:c r="C253" t="str">
        <x:f>IF(B253="","",TEXT(B253,"mmm-yyyy"))</x:f>
      </x:c>
      <x:c r="D253" t="str">
        <x:f>IF(B253="","",TEXT(B253,"ddd"))</x:f>
      </x:c>
      <x:c r="E253" s="32"/>
      <x:c r="F253" s="32"/>
      <x:c r="G253"/>
      <x:c r="H253" s="22" t="n">
        <x:f>IF(OR(B253="",J253&lt;&gt;"Completed"),0,IF(AND(ISNUMBER(E253),ISNUMBER(F253)),ROUND(((F253-E253)+(F253&lt;E253))*24-(N(G253)/60),2),0))</x:f>
        <x:v>0</x:v>
      </x:c>
      <x:c r="I253" s="34" t="str">
        <x:f>IF(H253=0,"",H253/24)</x:f>
      </x:c>
      <x:c r="J253"/>
      <x:c r="K253" s="22" t="str">
        <x:f>IF(B253="","",START_HERE!$B$7)</x:f>
      </x:c>
      <x:c r="L253" s="22" t="str">
        <x:f>IF(B253="","",ROUND(K253-H253,2))</x:f>
      </x:c>
      <x:c r="M253"/>
      <x:c r="N253" t="str">
        <x:f>IF(B253="","",IF(J253&lt;&gt;"Completed","Not counted",IF(H253&lt;=0,"CHECK TIME","OK")))</x:f>
      </x:c>
    </x:row>
    <x:row r="254">
      <x:c r="A254" t="str">
        <x:f>IF(B254="","",ROW()-1)</x:f>
      </x:c>
      <x:c r="B254" s="24"/>
      <x:c r="C254" t="str">
        <x:f>IF(B254="","",TEXT(B254,"mmm-yyyy"))</x:f>
      </x:c>
      <x:c r="D254" t="str">
        <x:f>IF(B254="","",TEXT(B254,"ddd"))</x:f>
      </x:c>
      <x:c r="E254" s="32"/>
      <x:c r="F254" s="32"/>
      <x:c r="G254"/>
      <x:c r="H254" s="22" t="n">
        <x:f>IF(OR(B254="",J254&lt;&gt;"Completed"),0,IF(AND(ISNUMBER(E254),ISNUMBER(F254)),ROUND(((F254-E254)+(F254&lt;E254))*24-(N(G254)/60),2),0))</x:f>
        <x:v>0</x:v>
      </x:c>
      <x:c r="I254" s="34" t="str">
        <x:f>IF(H254=0,"",H254/24)</x:f>
      </x:c>
      <x:c r="J254"/>
      <x:c r="K254" s="22" t="str">
        <x:f>IF(B254="","",START_HERE!$B$7)</x:f>
      </x:c>
      <x:c r="L254" s="22" t="str">
        <x:f>IF(B254="","",ROUND(K254-H254,2))</x:f>
      </x:c>
      <x:c r="M254"/>
      <x:c r="N254" t="str">
        <x:f>IF(B254="","",IF(J254&lt;&gt;"Completed","Not counted",IF(H254&lt;=0,"CHECK TIME","OK")))</x:f>
      </x:c>
    </x:row>
    <x:row r="255">
      <x:c r="A255" t="str">
        <x:f>IF(B255="","",ROW()-1)</x:f>
      </x:c>
      <x:c r="B255" s="24"/>
      <x:c r="C255" t="str">
        <x:f>IF(B255="","",TEXT(B255,"mmm-yyyy"))</x:f>
      </x:c>
      <x:c r="D255" t="str">
        <x:f>IF(B255="","",TEXT(B255,"ddd"))</x:f>
      </x:c>
      <x:c r="E255" s="32"/>
      <x:c r="F255" s="32"/>
      <x:c r="G255"/>
      <x:c r="H255" s="22" t="n">
        <x:f>IF(OR(B255="",J255&lt;&gt;"Completed"),0,IF(AND(ISNUMBER(E255),ISNUMBER(F255)),ROUND(((F255-E255)+(F255&lt;E255))*24-(N(G255)/60),2),0))</x:f>
        <x:v>0</x:v>
      </x:c>
      <x:c r="I255" s="34" t="str">
        <x:f>IF(H255=0,"",H255/24)</x:f>
      </x:c>
      <x:c r="J255"/>
      <x:c r="K255" s="22" t="str">
        <x:f>IF(B255="","",START_HERE!$B$7)</x:f>
      </x:c>
      <x:c r="L255" s="22" t="str">
        <x:f>IF(B255="","",ROUND(K255-H255,2))</x:f>
      </x:c>
      <x:c r="M255"/>
      <x:c r="N255" t="str">
        <x:f>IF(B255="","",IF(J255&lt;&gt;"Completed","Not counted",IF(H255&lt;=0,"CHECK TIME","OK")))</x:f>
      </x:c>
    </x:row>
    <x:row r="256">
      <x:c r="A256" t="str">
        <x:f>IF(B256="","",ROW()-1)</x:f>
      </x:c>
      <x:c r="B256" s="24"/>
      <x:c r="C256" t="str">
        <x:f>IF(B256="","",TEXT(B256,"mmm-yyyy"))</x:f>
      </x:c>
      <x:c r="D256" t="str">
        <x:f>IF(B256="","",TEXT(B256,"ddd"))</x:f>
      </x:c>
      <x:c r="E256" s="32"/>
      <x:c r="F256" s="32"/>
      <x:c r="G256"/>
      <x:c r="H256" s="22" t="n">
        <x:f>IF(OR(B256="",J256&lt;&gt;"Completed"),0,IF(AND(ISNUMBER(E256),ISNUMBER(F256)),ROUND(((F256-E256)+(F256&lt;E256))*24-(N(G256)/60),2),0))</x:f>
        <x:v>0</x:v>
      </x:c>
      <x:c r="I256" s="34" t="str">
        <x:f>IF(H256=0,"",H256/24)</x:f>
      </x:c>
      <x:c r="J256"/>
      <x:c r="K256" s="22" t="str">
        <x:f>IF(B256="","",START_HERE!$B$7)</x:f>
      </x:c>
      <x:c r="L256" s="22" t="str">
        <x:f>IF(B256="","",ROUND(K256-H256,2))</x:f>
      </x:c>
      <x:c r="M256"/>
      <x:c r="N256" t="str">
        <x:f>IF(B256="","",IF(J256&lt;&gt;"Completed","Not counted",IF(H256&lt;=0,"CHECK TIME","OK")))</x:f>
      </x:c>
    </x:row>
    <x:row r="257">
      <x:c r="A257" t="str">
        <x:f>IF(B257="","",ROW()-1)</x:f>
      </x:c>
      <x:c r="B257" s="24"/>
      <x:c r="C257" t="str">
        <x:f>IF(B257="","",TEXT(B257,"mmm-yyyy"))</x:f>
      </x:c>
      <x:c r="D257" t="str">
        <x:f>IF(B257="","",TEXT(B257,"ddd"))</x:f>
      </x:c>
      <x:c r="E257" s="32"/>
      <x:c r="F257" s="32"/>
      <x:c r="G257"/>
      <x:c r="H257" s="22" t="n">
        <x:f>IF(OR(B257="",J257&lt;&gt;"Completed"),0,IF(AND(ISNUMBER(E257),ISNUMBER(F257)),ROUND(((F257-E257)+(F257&lt;E257))*24-(N(G257)/60),2),0))</x:f>
        <x:v>0</x:v>
      </x:c>
      <x:c r="I257" s="34" t="str">
        <x:f>IF(H257=0,"",H257/24)</x:f>
      </x:c>
      <x:c r="J257"/>
      <x:c r="K257" s="22" t="str">
        <x:f>IF(B257="","",START_HERE!$B$7)</x:f>
      </x:c>
      <x:c r="L257" s="22" t="str">
        <x:f>IF(B257="","",ROUND(K257-H257,2))</x:f>
      </x:c>
      <x:c r="M257"/>
      <x:c r="N257" t="str">
        <x:f>IF(B257="","",IF(J257&lt;&gt;"Completed","Not counted",IF(H257&lt;=0,"CHECK TIME","OK")))</x:f>
      </x:c>
    </x:row>
    <x:row r="258">
      <x:c r="A258" t="str">
        <x:f>IF(B258="","",ROW()-1)</x:f>
      </x:c>
      <x:c r="B258" s="24"/>
      <x:c r="C258" t="str">
        <x:f>IF(B258="","",TEXT(B258,"mmm-yyyy"))</x:f>
      </x:c>
      <x:c r="D258" t="str">
        <x:f>IF(B258="","",TEXT(B258,"ddd"))</x:f>
      </x:c>
      <x:c r="E258" s="32"/>
      <x:c r="F258" s="32"/>
      <x:c r="G258"/>
      <x:c r="H258" s="22" t="n">
        <x:f>IF(OR(B258="",J258&lt;&gt;"Completed"),0,IF(AND(ISNUMBER(E258),ISNUMBER(F258)),ROUND(((F258-E258)+(F258&lt;E258))*24-(N(G258)/60),2),0))</x:f>
        <x:v>0</x:v>
      </x:c>
      <x:c r="I258" s="34" t="str">
        <x:f>IF(H258=0,"",H258/24)</x:f>
      </x:c>
      <x:c r="J258"/>
      <x:c r="K258" s="22" t="str">
        <x:f>IF(B258="","",START_HERE!$B$7)</x:f>
      </x:c>
      <x:c r="L258" s="22" t="str">
        <x:f>IF(B258="","",ROUND(K258-H258,2))</x:f>
      </x:c>
      <x:c r="M258"/>
      <x:c r="N258" t="str">
        <x:f>IF(B258="","",IF(J258&lt;&gt;"Completed","Not counted",IF(H258&lt;=0,"CHECK TIME","OK")))</x:f>
      </x:c>
    </x:row>
    <x:row r="259">
      <x:c r="A259" t="str">
        <x:f>IF(B259="","",ROW()-1)</x:f>
      </x:c>
      <x:c r="B259" s="24"/>
      <x:c r="C259" t="str">
        <x:f>IF(B259="","",TEXT(B259,"mmm-yyyy"))</x:f>
      </x:c>
      <x:c r="D259" t="str">
        <x:f>IF(B259="","",TEXT(B259,"ddd"))</x:f>
      </x:c>
      <x:c r="E259" s="32"/>
      <x:c r="F259" s="32"/>
      <x:c r="G259"/>
      <x:c r="H259" s="22" t="n">
        <x:f>IF(OR(B259="",J259&lt;&gt;"Completed"),0,IF(AND(ISNUMBER(E259),ISNUMBER(F259)),ROUND(((F259-E259)+(F259&lt;E259))*24-(N(G259)/60),2),0))</x:f>
        <x:v>0</x:v>
      </x:c>
      <x:c r="I259" s="34" t="str">
        <x:f>IF(H259=0,"",H259/24)</x:f>
      </x:c>
      <x:c r="J259"/>
      <x:c r="K259" s="22" t="str">
        <x:f>IF(B259="","",START_HERE!$B$7)</x:f>
      </x:c>
      <x:c r="L259" s="22" t="str">
        <x:f>IF(B259="","",ROUND(K259-H259,2))</x:f>
      </x:c>
      <x:c r="M259"/>
      <x:c r="N259" t="str">
        <x:f>IF(B259="","",IF(J259&lt;&gt;"Completed","Not counted",IF(H259&lt;=0,"CHECK TIME","OK")))</x:f>
      </x:c>
    </x:row>
    <x:row r="260">
      <x:c r="A260" t="str">
        <x:f>IF(B260="","",ROW()-1)</x:f>
      </x:c>
      <x:c r="B260" s="24"/>
      <x:c r="C260" t="str">
        <x:f>IF(B260="","",TEXT(B260,"mmm-yyyy"))</x:f>
      </x:c>
      <x:c r="D260" t="str">
        <x:f>IF(B260="","",TEXT(B260,"ddd"))</x:f>
      </x:c>
      <x:c r="E260" s="32"/>
      <x:c r="F260" s="32"/>
      <x:c r="G260"/>
      <x:c r="H260" s="22" t="n">
        <x:f>IF(OR(B260="",J260&lt;&gt;"Completed"),0,IF(AND(ISNUMBER(E260),ISNUMBER(F260)),ROUND(((F260-E260)+(F260&lt;E260))*24-(N(G260)/60),2),0))</x:f>
        <x:v>0</x:v>
      </x:c>
      <x:c r="I260" s="34" t="str">
        <x:f>IF(H260=0,"",H260/24)</x:f>
      </x:c>
      <x:c r="J260"/>
      <x:c r="K260" s="22" t="str">
        <x:f>IF(B260="","",START_HERE!$B$7)</x:f>
      </x:c>
      <x:c r="L260" s="22" t="str">
        <x:f>IF(B260="","",ROUND(K260-H260,2))</x:f>
      </x:c>
      <x:c r="M260"/>
      <x:c r="N260" t="str">
        <x:f>IF(B260="","",IF(J260&lt;&gt;"Completed","Not counted",IF(H260&lt;=0,"CHECK TIME","OK")))</x:f>
      </x:c>
    </x:row>
    <x:row r="261">
      <x:c r="A261" t="str">
        <x:f>IF(B261="","",ROW()-1)</x:f>
      </x:c>
      <x:c r="B261" s="24"/>
      <x:c r="C261" t="str">
        <x:f>IF(B261="","",TEXT(B261,"mmm-yyyy"))</x:f>
      </x:c>
      <x:c r="D261" t="str">
        <x:f>IF(B261="","",TEXT(B261,"ddd"))</x:f>
      </x:c>
      <x:c r="E261" s="32"/>
      <x:c r="F261" s="32"/>
      <x:c r="G261"/>
      <x:c r="H261" s="22" t="n">
        <x:f>IF(OR(B261="",J261&lt;&gt;"Completed"),0,IF(AND(ISNUMBER(E261),ISNUMBER(F261)),ROUND(((F261-E261)+(F261&lt;E261))*24-(N(G261)/60),2),0))</x:f>
        <x:v>0</x:v>
      </x:c>
      <x:c r="I261" s="34" t="str">
        <x:f>IF(H261=0,"",H261/24)</x:f>
      </x:c>
      <x:c r="J261"/>
      <x:c r="K261" s="22" t="str">
        <x:f>IF(B261="","",START_HERE!$B$7)</x:f>
      </x:c>
      <x:c r="L261" s="22" t="str">
        <x:f>IF(B261="","",ROUND(K261-H261,2))</x:f>
      </x:c>
      <x:c r="M261"/>
      <x:c r="N261" t="str">
        <x:f>IF(B261="","",IF(J261&lt;&gt;"Completed","Not counted",IF(H261&lt;=0,"CHECK TIME","OK")))</x:f>
      </x:c>
    </x:row>
    <x:row r="262">
      <x:c r="A262" t="str">
        <x:f>IF(B262="","",ROW()-1)</x:f>
      </x:c>
      <x:c r="B262" s="24"/>
      <x:c r="C262" t="str">
        <x:f>IF(B262="","",TEXT(B262,"mmm-yyyy"))</x:f>
      </x:c>
      <x:c r="D262" t="str">
        <x:f>IF(B262="","",TEXT(B262,"ddd"))</x:f>
      </x:c>
      <x:c r="E262" s="32"/>
      <x:c r="F262" s="32"/>
      <x:c r="G262"/>
      <x:c r="H262" s="22" t="n">
        <x:f>IF(OR(B262="",J262&lt;&gt;"Completed"),0,IF(AND(ISNUMBER(E262),ISNUMBER(F262)),ROUND(((F262-E262)+(F262&lt;E262))*24-(N(G262)/60),2),0))</x:f>
        <x:v>0</x:v>
      </x:c>
      <x:c r="I262" s="34" t="str">
        <x:f>IF(H262=0,"",H262/24)</x:f>
      </x:c>
      <x:c r="J262"/>
      <x:c r="K262" s="22" t="str">
        <x:f>IF(B262="","",START_HERE!$B$7)</x:f>
      </x:c>
      <x:c r="L262" s="22" t="str">
        <x:f>IF(B262="","",ROUND(K262-H262,2))</x:f>
      </x:c>
      <x:c r="M262"/>
      <x:c r="N262" t="str">
        <x:f>IF(B262="","",IF(J262&lt;&gt;"Completed","Not counted",IF(H262&lt;=0,"CHECK TIME","OK")))</x:f>
      </x:c>
    </x:row>
    <x:row r="263">
      <x:c r="A263" t="str">
        <x:f>IF(B263="","",ROW()-1)</x:f>
      </x:c>
      <x:c r="B263" s="24"/>
      <x:c r="C263" t="str">
        <x:f>IF(B263="","",TEXT(B263,"mmm-yyyy"))</x:f>
      </x:c>
      <x:c r="D263" t="str">
        <x:f>IF(B263="","",TEXT(B263,"ddd"))</x:f>
      </x:c>
      <x:c r="E263" s="32"/>
      <x:c r="F263" s="32"/>
      <x:c r="G263"/>
      <x:c r="H263" s="22" t="n">
        <x:f>IF(OR(B263="",J263&lt;&gt;"Completed"),0,IF(AND(ISNUMBER(E263),ISNUMBER(F263)),ROUND(((F263-E263)+(F263&lt;E263))*24-(N(G263)/60),2),0))</x:f>
        <x:v>0</x:v>
      </x:c>
      <x:c r="I263" s="34" t="str">
        <x:f>IF(H263=0,"",H263/24)</x:f>
      </x:c>
      <x:c r="J263"/>
      <x:c r="K263" s="22" t="str">
        <x:f>IF(B263="","",START_HERE!$B$7)</x:f>
      </x:c>
      <x:c r="L263" s="22" t="str">
        <x:f>IF(B263="","",ROUND(K263-H263,2))</x:f>
      </x:c>
      <x:c r="M263"/>
      <x:c r="N263" t="str">
        <x:f>IF(B263="","",IF(J263&lt;&gt;"Completed","Not counted",IF(H263&lt;=0,"CHECK TIME","OK")))</x:f>
      </x:c>
    </x:row>
    <x:row r="264">
      <x:c r="A264" t="str">
        <x:f>IF(B264="","",ROW()-1)</x:f>
      </x:c>
      <x:c r="B264" s="24"/>
      <x:c r="C264" t="str">
        <x:f>IF(B264="","",TEXT(B264,"mmm-yyyy"))</x:f>
      </x:c>
      <x:c r="D264" t="str">
        <x:f>IF(B264="","",TEXT(B264,"ddd"))</x:f>
      </x:c>
      <x:c r="E264" s="32"/>
      <x:c r="F264" s="32"/>
      <x:c r="G264"/>
      <x:c r="H264" s="22" t="n">
        <x:f>IF(OR(B264="",J264&lt;&gt;"Completed"),0,IF(AND(ISNUMBER(E264),ISNUMBER(F264)),ROUND(((F264-E264)+(F264&lt;E264))*24-(N(G264)/60),2),0))</x:f>
        <x:v>0</x:v>
      </x:c>
      <x:c r="I264" s="34" t="str">
        <x:f>IF(H264=0,"",H264/24)</x:f>
      </x:c>
      <x:c r="J264"/>
      <x:c r="K264" s="22" t="str">
        <x:f>IF(B264="","",START_HERE!$B$7)</x:f>
      </x:c>
      <x:c r="L264" s="22" t="str">
        <x:f>IF(B264="","",ROUND(K264-H264,2))</x:f>
      </x:c>
      <x:c r="M264"/>
      <x:c r="N264" t="str">
        <x:f>IF(B264="","",IF(J264&lt;&gt;"Completed","Not counted",IF(H264&lt;=0,"CHECK TIME","OK")))</x:f>
      </x:c>
    </x:row>
    <x:row r="265">
      <x:c r="A265" t="str">
        <x:f>IF(B265="","",ROW()-1)</x:f>
      </x:c>
      <x:c r="B265" s="24"/>
      <x:c r="C265" t="str">
        <x:f>IF(B265="","",TEXT(B265,"mmm-yyyy"))</x:f>
      </x:c>
      <x:c r="D265" t="str">
        <x:f>IF(B265="","",TEXT(B265,"ddd"))</x:f>
      </x:c>
      <x:c r="E265" s="32"/>
      <x:c r="F265" s="32"/>
      <x:c r="G265"/>
      <x:c r="H265" s="22" t="n">
        <x:f>IF(OR(B265="",J265&lt;&gt;"Completed"),0,IF(AND(ISNUMBER(E265),ISNUMBER(F265)),ROUND(((F265-E265)+(F265&lt;E265))*24-(N(G265)/60),2),0))</x:f>
        <x:v>0</x:v>
      </x:c>
      <x:c r="I265" s="34" t="str">
        <x:f>IF(H265=0,"",H265/24)</x:f>
      </x:c>
      <x:c r="J265"/>
      <x:c r="K265" s="22" t="str">
        <x:f>IF(B265="","",START_HERE!$B$7)</x:f>
      </x:c>
      <x:c r="L265" s="22" t="str">
        <x:f>IF(B265="","",ROUND(K265-H265,2))</x:f>
      </x:c>
      <x:c r="M265"/>
      <x:c r="N265" t="str">
        <x:f>IF(B265="","",IF(J265&lt;&gt;"Completed","Not counted",IF(H265&lt;=0,"CHECK TIME","OK")))</x:f>
      </x:c>
    </x:row>
    <x:row r="266">
      <x:c r="A266" t="str">
        <x:f>IF(B266="","",ROW()-1)</x:f>
      </x:c>
      <x:c r="B266" s="24"/>
      <x:c r="C266" t="str">
        <x:f>IF(B266="","",TEXT(B266,"mmm-yyyy"))</x:f>
      </x:c>
      <x:c r="D266" t="str">
        <x:f>IF(B266="","",TEXT(B266,"ddd"))</x:f>
      </x:c>
      <x:c r="E266" s="32"/>
      <x:c r="F266" s="32"/>
      <x:c r="G266"/>
      <x:c r="H266" s="22" t="n">
        <x:f>IF(OR(B266="",J266&lt;&gt;"Completed"),0,IF(AND(ISNUMBER(E266),ISNUMBER(F266)),ROUND(((F266-E266)+(F266&lt;E266))*24-(N(G266)/60),2),0))</x:f>
        <x:v>0</x:v>
      </x:c>
      <x:c r="I266" s="34" t="str">
        <x:f>IF(H266=0,"",H266/24)</x:f>
      </x:c>
      <x:c r="J266"/>
      <x:c r="K266" s="22" t="str">
        <x:f>IF(B266="","",START_HERE!$B$7)</x:f>
      </x:c>
      <x:c r="L266" s="22" t="str">
        <x:f>IF(B266="","",ROUND(K266-H266,2))</x:f>
      </x:c>
      <x:c r="M266"/>
      <x:c r="N266" t="str">
        <x:f>IF(B266="","",IF(J266&lt;&gt;"Completed","Not counted",IF(H266&lt;=0,"CHECK TIME","OK")))</x:f>
      </x:c>
    </x:row>
    <x:row r="267">
      <x:c r="A267" t="str">
        <x:f>IF(B267="","",ROW()-1)</x:f>
      </x:c>
      <x:c r="B267" s="24"/>
      <x:c r="C267" t="str">
        <x:f>IF(B267="","",TEXT(B267,"mmm-yyyy"))</x:f>
      </x:c>
      <x:c r="D267" t="str">
        <x:f>IF(B267="","",TEXT(B267,"ddd"))</x:f>
      </x:c>
      <x:c r="E267" s="32"/>
      <x:c r="F267" s="32"/>
      <x:c r="G267"/>
      <x:c r="H267" s="22" t="n">
        <x:f>IF(OR(B267="",J267&lt;&gt;"Completed"),0,IF(AND(ISNUMBER(E267),ISNUMBER(F267)),ROUND(((F267-E267)+(F267&lt;E267))*24-(N(G267)/60),2),0))</x:f>
        <x:v>0</x:v>
      </x:c>
      <x:c r="I267" s="34" t="str">
        <x:f>IF(H267=0,"",H267/24)</x:f>
      </x:c>
      <x:c r="J267"/>
      <x:c r="K267" s="22" t="str">
        <x:f>IF(B267="","",START_HERE!$B$7)</x:f>
      </x:c>
      <x:c r="L267" s="22" t="str">
        <x:f>IF(B267="","",ROUND(K267-H267,2))</x:f>
      </x:c>
      <x:c r="M267"/>
      <x:c r="N267" t="str">
        <x:f>IF(B267="","",IF(J267&lt;&gt;"Completed","Not counted",IF(H267&lt;=0,"CHECK TIME","OK")))</x:f>
      </x:c>
    </x:row>
    <x:row r="268">
      <x:c r="A268" t="str">
        <x:f>IF(B268="","",ROW()-1)</x:f>
      </x:c>
      <x:c r="B268" s="24"/>
      <x:c r="C268" t="str">
        <x:f>IF(B268="","",TEXT(B268,"mmm-yyyy"))</x:f>
      </x:c>
      <x:c r="D268" t="str">
        <x:f>IF(B268="","",TEXT(B268,"ddd"))</x:f>
      </x:c>
      <x:c r="E268" s="32"/>
      <x:c r="F268" s="32"/>
      <x:c r="G268"/>
      <x:c r="H268" s="22" t="n">
        <x:f>IF(OR(B268="",J268&lt;&gt;"Completed"),0,IF(AND(ISNUMBER(E268),ISNUMBER(F268)),ROUND(((F268-E268)+(F268&lt;E268))*24-(N(G268)/60),2),0))</x:f>
        <x:v>0</x:v>
      </x:c>
      <x:c r="I268" s="34" t="str">
        <x:f>IF(H268=0,"",H268/24)</x:f>
      </x:c>
      <x:c r="J268"/>
      <x:c r="K268" s="22" t="str">
        <x:f>IF(B268="","",START_HERE!$B$7)</x:f>
      </x:c>
      <x:c r="L268" s="22" t="str">
        <x:f>IF(B268="","",ROUND(K268-H268,2))</x:f>
      </x:c>
      <x:c r="M268"/>
      <x:c r="N268" t="str">
        <x:f>IF(B268="","",IF(J268&lt;&gt;"Completed","Not counted",IF(H268&lt;=0,"CHECK TIME","OK")))</x:f>
      </x:c>
    </x:row>
    <x:row r="269">
      <x:c r="A269" t="str">
        <x:f>IF(B269="","",ROW()-1)</x:f>
      </x:c>
      <x:c r="B269" s="24"/>
      <x:c r="C269" t="str">
        <x:f>IF(B269="","",TEXT(B269,"mmm-yyyy"))</x:f>
      </x:c>
      <x:c r="D269" t="str">
        <x:f>IF(B269="","",TEXT(B269,"ddd"))</x:f>
      </x:c>
      <x:c r="E269" s="32"/>
      <x:c r="F269" s="32"/>
      <x:c r="G269"/>
      <x:c r="H269" s="22" t="n">
        <x:f>IF(OR(B269="",J269&lt;&gt;"Completed"),0,IF(AND(ISNUMBER(E269),ISNUMBER(F269)),ROUND(((F269-E269)+(F269&lt;E269))*24-(N(G269)/60),2),0))</x:f>
        <x:v>0</x:v>
      </x:c>
      <x:c r="I269" s="34" t="str">
        <x:f>IF(H269=0,"",H269/24)</x:f>
      </x:c>
      <x:c r="J269"/>
      <x:c r="K269" s="22" t="str">
        <x:f>IF(B269="","",START_HERE!$B$7)</x:f>
      </x:c>
      <x:c r="L269" s="22" t="str">
        <x:f>IF(B269="","",ROUND(K269-H269,2))</x:f>
      </x:c>
      <x:c r="M269"/>
      <x:c r="N269" t="str">
        <x:f>IF(B269="","",IF(J269&lt;&gt;"Completed","Not counted",IF(H269&lt;=0,"CHECK TIME","OK")))</x:f>
      </x:c>
    </x:row>
    <x:row r="270">
      <x:c r="A270" t="str">
        <x:f>IF(B270="","",ROW()-1)</x:f>
      </x:c>
      <x:c r="B270" s="24"/>
      <x:c r="C270" t="str">
        <x:f>IF(B270="","",TEXT(B270,"mmm-yyyy"))</x:f>
      </x:c>
      <x:c r="D270" t="str">
        <x:f>IF(B270="","",TEXT(B270,"ddd"))</x:f>
      </x:c>
      <x:c r="E270" s="32"/>
      <x:c r="F270" s="32"/>
      <x:c r="G270"/>
      <x:c r="H270" s="22" t="n">
        <x:f>IF(OR(B270="",J270&lt;&gt;"Completed"),0,IF(AND(ISNUMBER(E270),ISNUMBER(F270)),ROUND(((F270-E270)+(F270&lt;E270))*24-(N(G270)/60),2),0))</x:f>
        <x:v>0</x:v>
      </x:c>
      <x:c r="I270" s="34" t="str">
        <x:f>IF(H270=0,"",H270/24)</x:f>
      </x:c>
      <x:c r="J270"/>
      <x:c r="K270" s="22" t="str">
        <x:f>IF(B270="","",START_HERE!$B$7)</x:f>
      </x:c>
      <x:c r="L270" s="22" t="str">
        <x:f>IF(B270="","",ROUND(K270-H270,2))</x:f>
      </x:c>
      <x:c r="M270"/>
      <x:c r="N270" t="str">
        <x:f>IF(B270="","",IF(J270&lt;&gt;"Completed","Not counted",IF(H270&lt;=0,"CHECK TIME","OK")))</x:f>
      </x:c>
    </x:row>
    <x:row r="271">
      <x:c r="A271" t="str">
        <x:f>IF(B271="","",ROW()-1)</x:f>
      </x:c>
      <x:c r="B271" s="24"/>
      <x:c r="C271" t="str">
        <x:f>IF(B271="","",TEXT(B271,"mmm-yyyy"))</x:f>
      </x:c>
      <x:c r="D271" t="str">
        <x:f>IF(B271="","",TEXT(B271,"ddd"))</x:f>
      </x:c>
      <x:c r="E271" s="32"/>
      <x:c r="F271" s="32"/>
      <x:c r="G271"/>
      <x:c r="H271" s="22" t="n">
        <x:f>IF(OR(B271="",J271&lt;&gt;"Completed"),0,IF(AND(ISNUMBER(E271),ISNUMBER(F271)),ROUND(((F271-E271)+(F271&lt;E271))*24-(N(G271)/60),2),0))</x:f>
        <x:v>0</x:v>
      </x:c>
      <x:c r="I271" s="34" t="str">
        <x:f>IF(H271=0,"",H271/24)</x:f>
      </x:c>
      <x:c r="J271"/>
      <x:c r="K271" s="22" t="str">
        <x:f>IF(B271="","",START_HERE!$B$7)</x:f>
      </x:c>
      <x:c r="L271" s="22" t="str">
        <x:f>IF(B271="","",ROUND(K271-H271,2))</x:f>
      </x:c>
      <x:c r="M271"/>
      <x:c r="N271" t="str">
        <x:f>IF(B271="","",IF(J271&lt;&gt;"Completed","Not counted",IF(H271&lt;=0,"CHECK TIME","OK")))</x:f>
      </x:c>
    </x:row>
    <x:row r="272">
      <x:c r="A272" t="str">
        <x:f>IF(B272="","",ROW()-1)</x:f>
      </x:c>
      <x:c r="B272" s="24"/>
      <x:c r="C272" t="str">
        <x:f>IF(B272="","",TEXT(B272,"mmm-yyyy"))</x:f>
      </x:c>
      <x:c r="D272" t="str">
        <x:f>IF(B272="","",TEXT(B272,"ddd"))</x:f>
      </x:c>
      <x:c r="E272" s="32"/>
      <x:c r="F272" s="32"/>
      <x:c r="G272"/>
      <x:c r="H272" s="22" t="n">
        <x:f>IF(OR(B272="",J272&lt;&gt;"Completed"),0,IF(AND(ISNUMBER(E272),ISNUMBER(F272)),ROUND(((F272-E272)+(F272&lt;E272))*24-(N(G272)/60),2),0))</x:f>
        <x:v>0</x:v>
      </x:c>
      <x:c r="I272" s="34" t="str">
        <x:f>IF(H272=0,"",H272/24)</x:f>
      </x:c>
      <x:c r="J272"/>
      <x:c r="K272" s="22" t="str">
        <x:f>IF(B272="","",START_HERE!$B$7)</x:f>
      </x:c>
      <x:c r="L272" s="22" t="str">
        <x:f>IF(B272="","",ROUND(K272-H272,2))</x:f>
      </x:c>
      <x:c r="M272"/>
      <x:c r="N272" t="str">
        <x:f>IF(B272="","",IF(J272&lt;&gt;"Completed","Not counted",IF(H272&lt;=0,"CHECK TIME","OK")))</x:f>
      </x:c>
    </x:row>
    <x:row r="273">
      <x:c r="A273" t="str">
        <x:f>IF(B273="","",ROW()-1)</x:f>
      </x:c>
      <x:c r="B273" s="24"/>
      <x:c r="C273" t="str">
        <x:f>IF(B273="","",TEXT(B273,"mmm-yyyy"))</x:f>
      </x:c>
      <x:c r="D273" t="str">
        <x:f>IF(B273="","",TEXT(B273,"ddd"))</x:f>
      </x:c>
      <x:c r="E273" s="32"/>
      <x:c r="F273" s="32"/>
      <x:c r="G273"/>
      <x:c r="H273" s="22" t="n">
        <x:f>IF(OR(B273="",J273&lt;&gt;"Completed"),0,IF(AND(ISNUMBER(E273),ISNUMBER(F273)),ROUND(((F273-E273)+(F273&lt;E273))*24-(N(G273)/60),2),0))</x:f>
        <x:v>0</x:v>
      </x:c>
      <x:c r="I273" s="34" t="str">
        <x:f>IF(H273=0,"",H273/24)</x:f>
      </x:c>
      <x:c r="J273"/>
      <x:c r="K273" s="22" t="str">
        <x:f>IF(B273="","",START_HERE!$B$7)</x:f>
      </x:c>
      <x:c r="L273" s="22" t="str">
        <x:f>IF(B273="","",ROUND(K273-H273,2))</x:f>
      </x:c>
      <x:c r="M273"/>
      <x:c r="N273" t="str">
        <x:f>IF(B273="","",IF(J273&lt;&gt;"Completed","Not counted",IF(H273&lt;=0,"CHECK TIME","OK")))</x:f>
      </x:c>
    </x:row>
    <x:row r="274">
      <x:c r="A274" t="str">
        <x:f>IF(B274="","",ROW()-1)</x:f>
      </x:c>
      <x:c r="B274" s="24"/>
      <x:c r="C274" t="str">
        <x:f>IF(B274="","",TEXT(B274,"mmm-yyyy"))</x:f>
      </x:c>
      <x:c r="D274" t="str">
        <x:f>IF(B274="","",TEXT(B274,"ddd"))</x:f>
      </x:c>
      <x:c r="E274" s="32"/>
      <x:c r="F274" s="32"/>
      <x:c r="G274"/>
      <x:c r="H274" s="22" t="n">
        <x:f>IF(OR(B274="",J274&lt;&gt;"Completed"),0,IF(AND(ISNUMBER(E274),ISNUMBER(F274)),ROUND(((F274-E274)+(F274&lt;E274))*24-(N(G274)/60),2),0))</x:f>
        <x:v>0</x:v>
      </x:c>
      <x:c r="I274" s="34" t="str">
        <x:f>IF(H274=0,"",H274/24)</x:f>
      </x:c>
      <x:c r="J274"/>
      <x:c r="K274" s="22" t="str">
        <x:f>IF(B274="","",START_HERE!$B$7)</x:f>
      </x:c>
      <x:c r="L274" s="22" t="str">
        <x:f>IF(B274="","",ROUND(K274-H274,2))</x:f>
      </x:c>
      <x:c r="M274"/>
      <x:c r="N274" t="str">
        <x:f>IF(B274="","",IF(J274&lt;&gt;"Completed","Not counted",IF(H274&lt;=0,"CHECK TIME","OK")))</x:f>
      </x:c>
    </x:row>
    <x:row r="275">
      <x:c r="A275" t="str">
        <x:f>IF(B275="","",ROW()-1)</x:f>
      </x:c>
      <x:c r="B275" s="24"/>
      <x:c r="C275" t="str">
        <x:f>IF(B275="","",TEXT(B275,"mmm-yyyy"))</x:f>
      </x:c>
      <x:c r="D275" t="str">
        <x:f>IF(B275="","",TEXT(B275,"ddd"))</x:f>
      </x:c>
      <x:c r="E275" s="32"/>
      <x:c r="F275" s="32"/>
      <x:c r="G275"/>
      <x:c r="H275" s="22" t="n">
        <x:f>IF(OR(B275="",J275&lt;&gt;"Completed"),0,IF(AND(ISNUMBER(E275),ISNUMBER(F275)),ROUND(((F275-E275)+(F275&lt;E275))*24-(N(G275)/60),2),0))</x:f>
        <x:v>0</x:v>
      </x:c>
      <x:c r="I275" s="34" t="str">
        <x:f>IF(H275=0,"",H275/24)</x:f>
      </x:c>
      <x:c r="J275"/>
      <x:c r="K275" s="22" t="str">
        <x:f>IF(B275="","",START_HERE!$B$7)</x:f>
      </x:c>
      <x:c r="L275" s="22" t="str">
        <x:f>IF(B275="","",ROUND(K275-H275,2))</x:f>
      </x:c>
      <x:c r="M275"/>
      <x:c r="N275" t="str">
        <x:f>IF(B275="","",IF(J275&lt;&gt;"Completed","Not counted",IF(H275&lt;=0,"CHECK TIME","OK")))</x:f>
      </x:c>
    </x:row>
    <x:row r="276">
      <x:c r="A276" t="str">
        <x:f>IF(B276="","",ROW()-1)</x:f>
      </x:c>
      <x:c r="B276" s="24"/>
      <x:c r="C276" t="str">
        <x:f>IF(B276="","",TEXT(B276,"mmm-yyyy"))</x:f>
      </x:c>
      <x:c r="D276" t="str">
        <x:f>IF(B276="","",TEXT(B276,"ddd"))</x:f>
      </x:c>
      <x:c r="E276" s="32"/>
      <x:c r="F276" s="32"/>
      <x:c r="G276"/>
      <x:c r="H276" s="22" t="n">
        <x:f>IF(OR(B276="",J276&lt;&gt;"Completed"),0,IF(AND(ISNUMBER(E276),ISNUMBER(F276)),ROUND(((F276-E276)+(F276&lt;E276))*24-(N(G276)/60),2),0))</x:f>
        <x:v>0</x:v>
      </x:c>
      <x:c r="I276" s="34" t="str">
        <x:f>IF(H276=0,"",H276/24)</x:f>
      </x:c>
      <x:c r="J276"/>
      <x:c r="K276" s="22" t="str">
        <x:f>IF(B276="","",START_HERE!$B$7)</x:f>
      </x:c>
      <x:c r="L276" s="22" t="str">
        <x:f>IF(B276="","",ROUND(K276-H276,2))</x:f>
      </x:c>
      <x:c r="M276"/>
      <x:c r="N276" t="str">
        <x:f>IF(B276="","",IF(J276&lt;&gt;"Completed","Not counted",IF(H276&lt;=0,"CHECK TIME","OK")))</x:f>
      </x:c>
    </x:row>
    <x:row r="277">
      <x:c r="A277" t="str">
        <x:f>IF(B277="","",ROW()-1)</x:f>
      </x:c>
      <x:c r="B277" s="24"/>
      <x:c r="C277" t="str">
        <x:f>IF(B277="","",TEXT(B277,"mmm-yyyy"))</x:f>
      </x:c>
      <x:c r="D277" t="str">
        <x:f>IF(B277="","",TEXT(B277,"ddd"))</x:f>
      </x:c>
      <x:c r="E277" s="32"/>
      <x:c r="F277" s="32"/>
      <x:c r="G277"/>
      <x:c r="H277" s="22" t="n">
        <x:f>IF(OR(B277="",J277&lt;&gt;"Completed"),0,IF(AND(ISNUMBER(E277),ISNUMBER(F277)),ROUND(((F277-E277)+(F277&lt;E277))*24-(N(G277)/60),2),0))</x:f>
        <x:v>0</x:v>
      </x:c>
      <x:c r="I277" s="34" t="str">
        <x:f>IF(H277=0,"",H277/24)</x:f>
      </x:c>
      <x:c r="J277"/>
      <x:c r="K277" s="22" t="str">
        <x:f>IF(B277="","",START_HERE!$B$7)</x:f>
      </x:c>
      <x:c r="L277" s="22" t="str">
        <x:f>IF(B277="","",ROUND(K277-H277,2))</x:f>
      </x:c>
      <x:c r="M277"/>
      <x:c r="N277" t="str">
        <x:f>IF(B277="","",IF(J277&lt;&gt;"Completed","Not counted",IF(H277&lt;=0,"CHECK TIME","OK")))</x:f>
      </x:c>
    </x:row>
    <x:row r="278">
      <x:c r="A278" t="str">
        <x:f>IF(B278="","",ROW()-1)</x:f>
      </x:c>
      <x:c r="B278" s="24"/>
      <x:c r="C278" t="str">
        <x:f>IF(B278="","",TEXT(B278,"mmm-yyyy"))</x:f>
      </x:c>
      <x:c r="D278" t="str">
        <x:f>IF(B278="","",TEXT(B278,"ddd"))</x:f>
      </x:c>
      <x:c r="E278" s="32"/>
      <x:c r="F278" s="32"/>
      <x:c r="G278"/>
      <x:c r="H278" s="22" t="n">
        <x:f>IF(OR(B278="",J278&lt;&gt;"Completed"),0,IF(AND(ISNUMBER(E278),ISNUMBER(F278)),ROUND(((F278-E278)+(F278&lt;E278))*24-(N(G278)/60),2),0))</x:f>
        <x:v>0</x:v>
      </x:c>
      <x:c r="I278" s="34" t="str">
        <x:f>IF(H278=0,"",H278/24)</x:f>
      </x:c>
      <x:c r="J278"/>
      <x:c r="K278" s="22" t="str">
        <x:f>IF(B278="","",START_HERE!$B$7)</x:f>
      </x:c>
      <x:c r="L278" s="22" t="str">
        <x:f>IF(B278="","",ROUND(K278-H278,2))</x:f>
      </x:c>
      <x:c r="M278"/>
      <x:c r="N278" t="str">
        <x:f>IF(B278="","",IF(J278&lt;&gt;"Completed","Not counted",IF(H278&lt;=0,"CHECK TIME","OK")))</x:f>
      </x:c>
    </x:row>
    <x:row r="279">
      <x:c r="A279" t="str">
        <x:f>IF(B279="","",ROW()-1)</x:f>
      </x:c>
      <x:c r="B279" s="24"/>
      <x:c r="C279" t="str">
        <x:f>IF(B279="","",TEXT(B279,"mmm-yyyy"))</x:f>
      </x:c>
      <x:c r="D279" t="str">
        <x:f>IF(B279="","",TEXT(B279,"ddd"))</x:f>
      </x:c>
      <x:c r="E279" s="32"/>
      <x:c r="F279" s="32"/>
      <x:c r="G279"/>
      <x:c r="H279" s="22" t="n">
        <x:f>IF(OR(B279="",J279&lt;&gt;"Completed"),0,IF(AND(ISNUMBER(E279),ISNUMBER(F279)),ROUND(((F279-E279)+(F279&lt;E279))*24-(N(G279)/60),2),0))</x:f>
        <x:v>0</x:v>
      </x:c>
      <x:c r="I279" s="34" t="str">
        <x:f>IF(H279=0,"",H279/24)</x:f>
      </x:c>
      <x:c r="J279"/>
      <x:c r="K279" s="22" t="str">
        <x:f>IF(B279="","",START_HERE!$B$7)</x:f>
      </x:c>
      <x:c r="L279" s="22" t="str">
        <x:f>IF(B279="","",ROUND(K279-H279,2))</x:f>
      </x:c>
      <x:c r="M279"/>
      <x:c r="N279" t="str">
        <x:f>IF(B279="","",IF(J279&lt;&gt;"Completed","Not counted",IF(H279&lt;=0,"CHECK TIME","OK")))</x:f>
      </x:c>
    </x:row>
    <x:row r="280">
      <x:c r="A280" t="str">
        <x:f>IF(B280="","",ROW()-1)</x:f>
      </x:c>
      <x:c r="B280" s="24"/>
      <x:c r="C280" t="str">
        <x:f>IF(B280="","",TEXT(B280,"mmm-yyyy"))</x:f>
      </x:c>
      <x:c r="D280" t="str">
        <x:f>IF(B280="","",TEXT(B280,"ddd"))</x:f>
      </x:c>
      <x:c r="E280" s="32"/>
      <x:c r="F280" s="32"/>
      <x:c r="G280"/>
      <x:c r="H280" s="22" t="n">
        <x:f>IF(OR(B280="",J280&lt;&gt;"Completed"),0,IF(AND(ISNUMBER(E280),ISNUMBER(F280)),ROUND(((F280-E280)+(F280&lt;E280))*24-(N(G280)/60),2),0))</x:f>
        <x:v>0</x:v>
      </x:c>
      <x:c r="I280" s="34" t="str">
        <x:f>IF(H280=0,"",H280/24)</x:f>
      </x:c>
      <x:c r="J280"/>
      <x:c r="K280" s="22" t="str">
        <x:f>IF(B280="","",START_HERE!$B$7)</x:f>
      </x:c>
      <x:c r="L280" s="22" t="str">
        <x:f>IF(B280="","",ROUND(K280-H280,2))</x:f>
      </x:c>
      <x:c r="M280"/>
      <x:c r="N280" t="str">
        <x:f>IF(B280="","",IF(J280&lt;&gt;"Completed","Not counted",IF(H280&lt;=0,"CHECK TIME","OK")))</x:f>
      </x:c>
    </x:row>
    <x:row r="281">
      <x:c r="A281" t="str">
        <x:f>IF(B281="","",ROW()-1)</x:f>
      </x:c>
      <x:c r="B281" s="24"/>
      <x:c r="C281" t="str">
        <x:f>IF(B281="","",TEXT(B281,"mmm-yyyy"))</x:f>
      </x:c>
      <x:c r="D281" t="str">
        <x:f>IF(B281="","",TEXT(B281,"ddd"))</x:f>
      </x:c>
      <x:c r="E281" s="32"/>
      <x:c r="F281" s="32"/>
      <x:c r="G281"/>
      <x:c r="H281" s="22" t="n">
        <x:f>IF(OR(B281="",J281&lt;&gt;"Completed"),0,IF(AND(ISNUMBER(E281),ISNUMBER(F281)),ROUND(((F281-E281)+(F281&lt;E281))*24-(N(G281)/60),2),0))</x:f>
        <x:v>0</x:v>
      </x:c>
      <x:c r="I281" s="34" t="str">
        <x:f>IF(H281=0,"",H281/24)</x:f>
      </x:c>
      <x:c r="J281"/>
      <x:c r="K281" s="22" t="str">
        <x:f>IF(B281="","",START_HERE!$B$7)</x:f>
      </x:c>
      <x:c r="L281" s="22" t="str">
        <x:f>IF(B281="","",ROUND(K281-H281,2))</x:f>
      </x:c>
      <x:c r="M281"/>
      <x:c r="N281" t="str">
        <x:f>IF(B281="","",IF(J281&lt;&gt;"Completed","Not counted",IF(H281&lt;=0,"CHECK TIME","OK")))</x:f>
      </x:c>
    </x:row>
    <x:row r="282">
      <x:c r="A282" t="str">
        <x:f>IF(B282="","",ROW()-1)</x:f>
      </x:c>
      <x:c r="B282" s="24"/>
      <x:c r="C282" t="str">
        <x:f>IF(B282="","",TEXT(B282,"mmm-yyyy"))</x:f>
      </x:c>
      <x:c r="D282" t="str">
        <x:f>IF(B282="","",TEXT(B282,"ddd"))</x:f>
      </x:c>
      <x:c r="E282" s="32"/>
      <x:c r="F282" s="32"/>
      <x:c r="G282"/>
      <x:c r="H282" s="22" t="n">
        <x:f>IF(OR(B282="",J282&lt;&gt;"Completed"),0,IF(AND(ISNUMBER(E282),ISNUMBER(F282)),ROUND(((F282-E282)+(F282&lt;E282))*24-(N(G282)/60),2),0))</x:f>
        <x:v>0</x:v>
      </x:c>
      <x:c r="I282" s="34" t="str">
        <x:f>IF(H282=0,"",H282/24)</x:f>
      </x:c>
      <x:c r="J282"/>
      <x:c r="K282" s="22" t="str">
        <x:f>IF(B282="","",START_HERE!$B$7)</x:f>
      </x:c>
      <x:c r="L282" s="22" t="str">
        <x:f>IF(B282="","",ROUND(K282-H282,2))</x:f>
      </x:c>
      <x:c r="M282"/>
      <x:c r="N282" t="str">
        <x:f>IF(B282="","",IF(J282&lt;&gt;"Completed","Not counted",IF(H282&lt;=0,"CHECK TIME","OK")))</x:f>
      </x:c>
    </x:row>
    <x:row r="283">
      <x:c r="A283" t="str">
        <x:f>IF(B283="","",ROW()-1)</x:f>
      </x:c>
      <x:c r="B283" s="24"/>
      <x:c r="C283" t="str">
        <x:f>IF(B283="","",TEXT(B283,"mmm-yyyy"))</x:f>
      </x:c>
      <x:c r="D283" t="str">
        <x:f>IF(B283="","",TEXT(B283,"ddd"))</x:f>
      </x:c>
      <x:c r="E283" s="32"/>
      <x:c r="F283" s="32"/>
      <x:c r="G283"/>
      <x:c r="H283" s="22" t="n">
        <x:f>IF(OR(B283="",J283&lt;&gt;"Completed"),0,IF(AND(ISNUMBER(E283),ISNUMBER(F283)),ROUND(((F283-E283)+(F283&lt;E283))*24-(N(G283)/60),2),0))</x:f>
        <x:v>0</x:v>
      </x:c>
      <x:c r="I283" s="34" t="str">
        <x:f>IF(H283=0,"",H283/24)</x:f>
      </x:c>
      <x:c r="J283"/>
      <x:c r="K283" s="22" t="str">
        <x:f>IF(B283="","",START_HERE!$B$7)</x:f>
      </x:c>
      <x:c r="L283" s="22" t="str">
        <x:f>IF(B283="","",ROUND(K283-H283,2))</x:f>
      </x:c>
      <x:c r="M283"/>
      <x:c r="N283" t="str">
        <x:f>IF(B283="","",IF(J283&lt;&gt;"Completed","Not counted",IF(H283&lt;=0,"CHECK TIME","OK")))</x:f>
      </x:c>
    </x:row>
    <x:row r="284">
      <x:c r="A284" t="str">
        <x:f>IF(B284="","",ROW()-1)</x:f>
      </x:c>
      <x:c r="B284" s="24"/>
      <x:c r="C284" t="str">
        <x:f>IF(B284="","",TEXT(B284,"mmm-yyyy"))</x:f>
      </x:c>
      <x:c r="D284" t="str">
        <x:f>IF(B284="","",TEXT(B284,"ddd"))</x:f>
      </x:c>
      <x:c r="E284" s="32"/>
      <x:c r="F284" s="32"/>
      <x:c r="G284"/>
      <x:c r="H284" s="22" t="n">
        <x:f>IF(OR(B284="",J284&lt;&gt;"Completed"),0,IF(AND(ISNUMBER(E284),ISNUMBER(F284)),ROUND(((F284-E284)+(F284&lt;E284))*24-(N(G284)/60),2),0))</x:f>
        <x:v>0</x:v>
      </x:c>
      <x:c r="I284" s="34" t="str">
        <x:f>IF(H284=0,"",H284/24)</x:f>
      </x:c>
      <x:c r="J284"/>
      <x:c r="K284" s="22" t="str">
        <x:f>IF(B284="","",START_HERE!$B$7)</x:f>
      </x:c>
      <x:c r="L284" s="22" t="str">
        <x:f>IF(B284="","",ROUND(K284-H284,2))</x:f>
      </x:c>
      <x:c r="M284"/>
      <x:c r="N284" t="str">
        <x:f>IF(B284="","",IF(J284&lt;&gt;"Completed","Not counted",IF(H284&lt;=0,"CHECK TIME","OK")))</x:f>
      </x:c>
    </x:row>
    <x:row r="285">
      <x:c r="A285" t="str">
        <x:f>IF(B285="","",ROW()-1)</x:f>
      </x:c>
      <x:c r="B285" s="24"/>
      <x:c r="C285" t="str">
        <x:f>IF(B285="","",TEXT(B285,"mmm-yyyy"))</x:f>
      </x:c>
      <x:c r="D285" t="str">
        <x:f>IF(B285="","",TEXT(B285,"ddd"))</x:f>
      </x:c>
      <x:c r="E285" s="32"/>
      <x:c r="F285" s="32"/>
      <x:c r="G285"/>
      <x:c r="H285" s="22" t="n">
        <x:f>IF(OR(B285="",J285&lt;&gt;"Completed"),0,IF(AND(ISNUMBER(E285),ISNUMBER(F285)),ROUND(((F285-E285)+(F285&lt;E285))*24-(N(G285)/60),2),0))</x:f>
        <x:v>0</x:v>
      </x:c>
      <x:c r="I285" s="34" t="str">
        <x:f>IF(H285=0,"",H285/24)</x:f>
      </x:c>
      <x:c r="J285"/>
      <x:c r="K285" s="22" t="str">
        <x:f>IF(B285="","",START_HERE!$B$7)</x:f>
      </x:c>
      <x:c r="L285" s="22" t="str">
        <x:f>IF(B285="","",ROUND(K285-H285,2))</x:f>
      </x:c>
      <x:c r="M285"/>
      <x:c r="N285" t="str">
        <x:f>IF(B285="","",IF(J285&lt;&gt;"Completed","Not counted",IF(H285&lt;=0,"CHECK TIME","OK")))</x:f>
      </x:c>
    </x:row>
    <x:row r="286">
      <x:c r="A286" t="str">
        <x:f>IF(B286="","",ROW()-1)</x:f>
      </x:c>
      <x:c r="B286" s="24"/>
      <x:c r="C286" t="str">
        <x:f>IF(B286="","",TEXT(B286,"mmm-yyyy"))</x:f>
      </x:c>
      <x:c r="D286" t="str">
        <x:f>IF(B286="","",TEXT(B286,"ddd"))</x:f>
      </x:c>
      <x:c r="E286" s="32"/>
      <x:c r="F286" s="32"/>
      <x:c r="G286"/>
      <x:c r="H286" s="22" t="n">
        <x:f>IF(OR(B286="",J286&lt;&gt;"Completed"),0,IF(AND(ISNUMBER(E286),ISNUMBER(F286)),ROUND(((F286-E286)+(F286&lt;E286))*24-(N(G286)/60),2),0))</x:f>
        <x:v>0</x:v>
      </x:c>
      <x:c r="I286" s="34" t="str">
        <x:f>IF(H286=0,"",H286/24)</x:f>
      </x:c>
      <x:c r="J286"/>
      <x:c r="K286" s="22" t="str">
        <x:f>IF(B286="","",START_HERE!$B$7)</x:f>
      </x:c>
      <x:c r="L286" s="22" t="str">
        <x:f>IF(B286="","",ROUND(K286-H286,2))</x:f>
      </x:c>
      <x:c r="M286"/>
      <x:c r="N286" t="str">
        <x:f>IF(B286="","",IF(J286&lt;&gt;"Completed","Not counted",IF(H286&lt;=0,"CHECK TIME","OK")))</x:f>
      </x:c>
    </x:row>
    <x:row r="287">
      <x:c r="A287" t="str">
        <x:f>IF(B287="","",ROW()-1)</x:f>
      </x:c>
      <x:c r="B287" s="24"/>
      <x:c r="C287" t="str">
        <x:f>IF(B287="","",TEXT(B287,"mmm-yyyy"))</x:f>
      </x:c>
      <x:c r="D287" t="str">
        <x:f>IF(B287="","",TEXT(B287,"ddd"))</x:f>
      </x:c>
      <x:c r="E287" s="32"/>
      <x:c r="F287" s="32"/>
      <x:c r="G287"/>
      <x:c r="H287" s="22" t="n">
        <x:f>IF(OR(B287="",J287&lt;&gt;"Completed"),0,IF(AND(ISNUMBER(E287),ISNUMBER(F287)),ROUND(((F287-E287)+(F287&lt;E287))*24-(N(G287)/60),2),0))</x:f>
        <x:v>0</x:v>
      </x:c>
      <x:c r="I287" s="34" t="str">
        <x:f>IF(H287=0,"",H287/24)</x:f>
      </x:c>
      <x:c r="J287"/>
      <x:c r="K287" s="22" t="str">
        <x:f>IF(B287="","",START_HERE!$B$7)</x:f>
      </x:c>
      <x:c r="L287" s="22" t="str">
        <x:f>IF(B287="","",ROUND(K287-H287,2))</x:f>
      </x:c>
      <x:c r="M287"/>
      <x:c r="N287" t="str">
        <x:f>IF(B287="","",IF(J287&lt;&gt;"Completed","Not counted",IF(H287&lt;=0,"CHECK TIME","OK")))</x:f>
      </x:c>
    </x:row>
    <x:row r="288">
      <x:c r="A288" t="str">
        <x:f>IF(B288="","",ROW()-1)</x:f>
      </x:c>
      <x:c r="B288" s="24"/>
      <x:c r="C288" t="str">
        <x:f>IF(B288="","",TEXT(B288,"mmm-yyyy"))</x:f>
      </x:c>
      <x:c r="D288" t="str">
        <x:f>IF(B288="","",TEXT(B288,"ddd"))</x:f>
      </x:c>
      <x:c r="E288" s="32"/>
      <x:c r="F288" s="32"/>
      <x:c r="G288"/>
      <x:c r="H288" s="22" t="n">
        <x:f>IF(OR(B288="",J288&lt;&gt;"Completed"),0,IF(AND(ISNUMBER(E288),ISNUMBER(F288)),ROUND(((F288-E288)+(F288&lt;E288))*24-(N(G288)/60),2),0))</x:f>
        <x:v>0</x:v>
      </x:c>
      <x:c r="I288" s="34" t="str">
        <x:f>IF(H288=0,"",H288/24)</x:f>
      </x:c>
      <x:c r="J288"/>
      <x:c r="K288" s="22" t="str">
        <x:f>IF(B288="","",START_HERE!$B$7)</x:f>
      </x:c>
      <x:c r="L288" s="22" t="str">
        <x:f>IF(B288="","",ROUND(K288-H288,2))</x:f>
      </x:c>
      <x:c r="M288"/>
      <x:c r="N288" t="str">
        <x:f>IF(B288="","",IF(J288&lt;&gt;"Completed","Not counted",IF(H288&lt;=0,"CHECK TIME","OK")))</x:f>
      </x:c>
    </x:row>
    <x:row r="289">
      <x:c r="A289" t="str">
        <x:f>IF(B289="","",ROW()-1)</x:f>
      </x:c>
      <x:c r="B289" s="24"/>
      <x:c r="C289" t="str">
        <x:f>IF(B289="","",TEXT(B289,"mmm-yyyy"))</x:f>
      </x:c>
      <x:c r="D289" t="str">
        <x:f>IF(B289="","",TEXT(B289,"ddd"))</x:f>
      </x:c>
      <x:c r="E289" s="32"/>
      <x:c r="F289" s="32"/>
      <x:c r="G289"/>
      <x:c r="H289" s="22" t="n">
        <x:f>IF(OR(B289="",J289&lt;&gt;"Completed"),0,IF(AND(ISNUMBER(E289),ISNUMBER(F289)),ROUND(((F289-E289)+(F289&lt;E289))*24-(N(G289)/60),2),0))</x:f>
        <x:v>0</x:v>
      </x:c>
      <x:c r="I289" s="34" t="str">
        <x:f>IF(H289=0,"",H289/24)</x:f>
      </x:c>
      <x:c r="J289"/>
      <x:c r="K289" s="22" t="str">
        <x:f>IF(B289="","",START_HERE!$B$7)</x:f>
      </x:c>
      <x:c r="L289" s="22" t="str">
        <x:f>IF(B289="","",ROUND(K289-H289,2))</x:f>
      </x:c>
      <x:c r="M289"/>
      <x:c r="N289" t="str">
        <x:f>IF(B289="","",IF(J289&lt;&gt;"Completed","Not counted",IF(H289&lt;=0,"CHECK TIME","OK")))</x:f>
      </x:c>
    </x:row>
    <x:row r="290">
      <x:c r="A290" t="str">
        <x:f>IF(B290="","",ROW()-1)</x:f>
      </x:c>
      <x:c r="B290" s="24"/>
      <x:c r="C290" t="str">
        <x:f>IF(B290="","",TEXT(B290,"mmm-yyyy"))</x:f>
      </x:c>
      <x:c r="D290" t="str">
        <x:f>IF(B290="","",TEXT(B290,"ddd"))</x:f>
      </x:c>
      <x:c r="E290" s="32"/>
      <x:c r="F290" s="32"/>
      <x:c r="G290"/>
      <x:c r="H290" s="22" t="n">
        <x:f>IF(OR(B290="",J290&lt;&gt;"Completed"),0,IF(AND(ISNUMBER(E290),ISNUMBER(F290)),ROUND(((F290-E290)+(F290&lt;E290))*24-(N(G290)/60),2),0))</x:f>
        <x:v>0</x:v>
      </x:c>
      <x:c r="I290" s="34" t="str">
        <x:f>IF(H290=0,"",H290/24)</x:f>
      </x:c>
      <x:c r="J290"/>
      <x:c r="K290" s="22" t="str">
        <x:f>IF(B290="","",START_HERE!$B$7)</x:f>
      </x:c>
      <x:c r="L290" s="22" t="str">
        <x:f>IF(B290="","",ROUND(K290-H290,2))</x:f>
      </x:c>
      <x:c r="M290"/>
      <x:c r="N290" t="str">
        <x:f>IF(B290="","",IF(J290&lt;&gt;"Completed","Not counted",IF(H290&lt;=0,"CHECK TIME","OK")))</x:f>
      </x:c>
    </x:row>
    <x:row r="291">
      <x:c r="A291" t="str">
        <x:f>IF(B291="","",ROW()-1)</x:f>
      </x:c>
      <x:c r="B291" s="24"/>
      <x:c r="C291" t="str">
        <x:f>IF(B291="","",TEXT(B291,"mmm-yyyy"))</x:f>
      </x:c>
      <x:c r="D291" t="str">
        <x:f>IF(B291="","",TEXT(B291,"ddd"))</x:f>
      </x:c>
      <x:c r="E291" s="32"/>
      <x:c r="F291" s="32"/>
      <x:c r="G291"/>
      <x:c r="H291" s="22" t="n">
        <x:f>IF(OR(B291="",J291&lt;&gt;"Completed"),0,IF(AND(ISNUMBER(E291),ISNUMBER(F291)),ROUND(((F291-E291)+(F291&lt;E291))*24-(N(G291)/60),2),0))</x:f>
        <x:v>0</x:v>
      </x:c>
      <x:c r="I291" s="34" t="str">
        <x:f>IF(H291=0,"",H291/24)</x:f>
      </x:c>
      <x:c r="J291"/>
      <x:c r="K291" s="22" t="str">
        <x:f>IF(B291="","",START_HERE!$B$7)</x:f>
      </x:c>
      <x:c r="L291" s="22" t="str">
        <x:f>IF(B291="","",ROUND(K291-H291,2))</x:f>
      </x:c>
      <x:c r="M291"/>
      <x:c r="N291" t="str">
        <x:f>IF(B291="","",IF(J291&lt;&gt;"Completed","Not counted",IF(H291&lt;=0,"CHECK TIME","OK")))</x:f>
      </x:c>
    </x:row>
    <x:row r="292">
      <x:c r="A292" t="str">
        <x:f>IF(B292="","",ROW()-1)</x:f>
      </x:c>
      <x:c r="B292" s="24"/>
      <x:c r="C292" t="str">
        <x:f>IF(B292="","",TEXT(B292,"mmm-yyyy"))</x:f>
      </x:c>
      <x:c r="D292" t="str">
        <x:f>IF(B292="","",TEXT(B292,"ddd"))</x:f>
      </x:c>
      <x:c r="E292" s="32"/>
      <x:c r="F292" s="32"/>
      <x:c r="G292"/>
      <x:c r="H292" s="22" t="n">
        <x:f>IF(OR(B292="",J292&lt;&gt;"Completed"),0,IF(AND(ISNUMBER(E292),ISNUMBER(F292)),ROUND(((F292-E292)+(F292&lt;E292))*24-(N(G292)/60),2),0))</x:f>
        <x:v>0</x:v>
      </x:c>
      <x:c r="I292" s="34" t="str">
        <x:f>IF(H292=0,"",H292/24)</x:f>
      </x:c>
      <x:c r="J292"/>
      <x:c r="K292" s="22" t="str">
        <x:f>IF(B292="","",START_HERE!$B$7)</x:f>
      </x:c>
      <x:c r="L292" s="22" t="str">
        <x:f>IF(B292="","",ROUND(K292-H292,2))</x:f>
      </x:c>
      <x:c r="M292"/>
      <x:c r="N292" t="str">
        <x:f>IF(B292="","",IF(J292&lt;&gt;"Completed","Not counted",IF(H292&lt;=0,"CHECK TIME","OK")))</x:f>
      </x:c>
    </x:row>
    <x:row r="293">
      <x:c r="A293" t="str">
        <x:f>IF(B293="","",ROW()-1)</x:f>
      </x:c>
      <x:c r="B293" s="24"/>
      <x:c r="C293" t="str">
        <x:f>IF(B293="","",TEXT(B293,"mmm-yyyy"))</x:f>
      </x:c>
      <x:c r="D293" t="str">
        <x:f>IF(B293="","",TEXT(B293,"ddd"))</x:f>
      </x:c>
      <x:c r="E293" s="32"/>
      <x:c r="F293" s="32"/>
      <x:c r="G293"/>
      <x:c r="H293" s="22" t="n">
        <x:f>IF(OR(B293="",J293&lt;&gt;"Completed"),0,IF(AND(ISNUMBER(E293),ISNUMBER(F293)),ROUND(((F293-E293)+(F293&lt;E293))*24-(N(G293)/60),2),0))</x:f>
        <x:v>0</x:v>
      </x:c>
      <x:c r="I293" s="34" t="str">
        <x:f>IF(H293=0,"",H293/24)</x:f>
      </x:c>
      <x:c r="J293"/>
      <x:c r="K293" s="22" t="str">
        <x:f>IF(B293="","",START_HERE!$B$7)</x:f>
      </x:c>
      <x:c r="L293" s="22" t="str">
        <x:f>IF(B293="","",ROUND(K293-H293,2))</x:f>
      </x:c>
      <x:c r="M293"/>
      <x:c r="N293" t="str">
        <x:f>IF(B293="","",IF(J293&lt;&gt;"Completed","Not counted",IF(H293&lt;=0,"CHECK TIME","OK")))</x:f>
      </x:c>
    </x:row>
    <x:row r="294">
      <x:c r="A294" t="str">
        <x:f>IF(B294="","",ROW()-1)</x:f>
      </x:c>
      <x:c r="B294" s="24"/>
      <x:c r="C294" t="str">
        <x:f>IF(B294="","",TEXT(B294,"mmm-yyyy"))</x:f>
      </x:c>
      <x:c r="D294" t="str">
        <x:f>IF(B294="","",TEXT(B294,"ddd"))</x:f>
      </x:c>
      <x:c r="E294" s="32"/>
      <x:c r="F294" s="32"/>
      <x:c r="G294"/>
      <x:c r="H294" s="22" t="n">
        <x:f>IF(OR(B294="",J294&lt;&gt;"Completed"),0,IF(AND(ISNUMBER(E294),ISNUMBER(F294)),ROUND(((F294-E294)+(F294&lt;E294))*24-(N(G294)/60),2),0))</x:f>
        <x:v>0</x:v>
      </x:c>
      <x:c r="I294" s="34" t="str">
        <x:f>IF(H294=0,"",H294/24)</x:f>
      </x:c>
      <x:c r="J294"/>
      <x:c r="K294" s="22" t="str">
        <x:f>IF(B294="","",START_HERE!$B$7)</x:f>
      </x:c>
      <x:c r="L294" s="22" t="str">
        <x:f>IF(B294="","",ROUND(K294-H294,2))</x:f>
      </x:c>
      <x:c r="M294"/>
      <x:c r="N294" t="str">
        <x:f>IF(B294="","",IF(J294&lt;&gt;"Completed","Not counted",IF(H294&lt;=0,"CHECK TIME","OK")))</x:f>
      </x:c>
    </x:row>
    <x:row r="295">
      <x:c r="A295" t="str">
        <x:f>IF(B295="","",ROW()-1)</x:f>
      </x:c>
      <x:c r="B295" s="24"/>
      <x:c r="C295" t="str">
        <x:f>IF(B295="","",TEXT(B295,"mmm-yyyy"))</x:f>
      </x:c>
      <x:c r="D295" t="str">
        <x:f>IF(B295="","",TEXT(B295,"ddd"))</x:f>
      </x:c>
      <x:c r="E295" s="32"/>
      <x:c r="F295" s="32"/>
      <x:c r="G295"/>
      <x:c r="H295" s="22" t="n">
        <x:f>IF(OR(B295="",J295&lt;&gt;"Completed"),0,IF(AND(ISNUMBER(E295),ISNUMBER(F295)),ROUND(((F295-E295)+(F295&lt;E295))*24-(N(G295)/60),2),0))</x:f>
        <x:v>0</x:v>
      </x:c>
      <x:c r="I295" s="34" t="str">
        <x:f>IF(H295=0,"",H295/24)</x:f>
      </x:c>
      <x:c r="J295"/>
      <x:c r="K295" s="22" t="str">
        <x:f>IF(B295="","",START_HERE!$B$7)</x:f>
      </x:c>
      <x:c r="L295" s="22" t="str">
        <x:f>IF(B295="","",ROUND(K295-H295,2))</x:f>
      </x:c>
      <x:c r="M295"/>
      <x:c r="N295" t="str">
        <x:f>IF(B295="","",IF(J295&lt;&gt;"Completed","Not counted",IF(H295&lt;=0,"CHECK TIME","OK")))</x:f>
      </x:c>
    </x:row>
    <x:row r="296">
      <x:c r="A296" t="str">
        <x:f>IF(B296="","",ROW()-1)</x:f>
      </x:c>
      <x:c r="B296" s="24"/>
      <x:c r="C296" t="str">
        <x:f>IF(B296="","",TEXT(B296,"mmm-yyyy"))</x:f>
      </x:c>
      <x:c r="D296" t="str">
        <x:f>IF(B296="","",TEXT(B296,"ddd"))</x:f>
      </x:c>
      <x:c r="E296" s="32"/>
      <x:c r="F296" s="32"/>
      <x:c r="G296"/>
      <x:c r="H296" s="22" t="n">
        <x:f>IF(OR(B296="",J296&lt;&gt;"Completed"),0,IF(AND(ISNUMBER(E296),ISNUMBER(F296)),ROUND(((F296-E296)+(F296&lt;E296))*24-(N(G296)/60),2),0))</x:f>
        <x:v>0</x:v>
      </x:c>
      <x:c r="I296" s="34" t="str">
        <x:f>IF(H296=0,"",H296/24)</x:f>
      </x:c>
      <x:c r="J296"/>
      <x:c r="K296" s="22" t="str">
        <x:f>IF(B296="","",START_HERE!$B$7)</x:f>
      </x:c>
      <x:c r="L296" s="22" t="str">
        <x:f>IF(B296="","",ROUND(K296-H296,2))</x:f>
      </x:c>
      <x:c r="M296"/>
      <x:c r="N296" t="str">
        <x:f>IF(B296="","",IF(J296&lt;&gt;"Completed","Not counted",IF(H296&lt;=0,"CHECK TIME","OK")))</x:f>
      </x:c>
    </x:row>
    <x:row r="297">
      <x:c r="A297" t="str">
        <x:f>IF(B297="","",ROW()-1)</x:f>
      </x:c>
      <x:c r="B297" s="24"/>
      <x:c r="C297" t="str">
        <x:f>IF(B297="","",TEXT(B297,"mmm-yyyy"))</x:f>
      </x:c>
      <x:c r="D297" t="str">
        <x:f>IF(B297="","",TEXT(B297,"ddd"))</x:f>
      </x:c>
      <x:c r="E297" s="32"/>
      <x:c r="F297" s="32"/>
      <x:c r="G297"/>
      <x:c r="H297" s="22" t="n">
        <x:f>IF(OR(B297="",J297&lt;&gt;"Completed"),0,IF(AND(ISNUMBER(E297),ISNUMBER(F297)),ROUND(((F297-E297)+(F297&lt;E297))*24-(N(G297)/60),2),0))</x:f>
        <x:v>0</x:v>
      </x:c>
      <x:c r="I297" s="34" t="str">
        <x:f>IF(H297=0,"",H297/24)</x:f>
      </x:c>
      <x:c r="J297"/>
      <x:c r="K297" s="22" t="str">
        <x:f>IF(B297="","",START_HERE!$B$7)</x:f>
      </x:c>
      <x:c r="L297" s="22" t="str">
        <x:f>IF(B297="","",ROUND(K297-H297,2))</x:f>
      </x:c>
      <x:c r="M297"/>
      <x:c r="N297" t="str">
        <x:f>IF(B297="","",IF(J297&lt;&gt;"Completed","Not counted",IF(H297&lt;=0,"CHECK TIME","OK")))</x:f>
      </x:c>
    </x:row>
    <x:row r="298">
      <x:c r="A298" t="str">
        <x:f>IF(B298="","",ROW()-1)</x:f>
      </x:c>
      <x:c r="B298" s="24"/>
      <x:c r="C298" t="str">
        <x:f>IF(B298="","",TEXT(B298,"mmm-yyyy"))</x:f>
      </x:c>
      <x:c r="D298" t="str">
        <x:f>IF(B298="","",TEXT(B298,"ddd"))</x:f>
      </x:c>
      <x:c r="E298" s="32"/>
      <x:c r="F298" s="32"/>
      <x:c r="G298"/>
      <x:c r="H298" s="22" t="n">
        <x:f>IF(OR(B298="",J298&lt;&gt;"Completed"),0,IF(AND(ISNUMBER(E298),ISNUMBER(F298)),ROUND(((F298-E298)+(F298&lt;E298))*24-(N(G298)/60),2),0))</x:f>
        <x:v>0</x:v>
      </x:c>
      <x:c r="I298" s="34" t="str">
        <x:f>IF(H298=0,"",H298/24)</x:f>
      </x:c>
      <x:c r="J298"/>
      <x:c r="K298" s="22" t="str">
        <x:f>IF(B298="","",START_HERE!$B$7)</x:f>
      </x:c>
      <x:c r="L298" s="22" t="str">
        <x:f>IF(B298="","",ROUND(K298-H298,2))</x:f>
      </x:c>
      <x:c r="M298"/>
      <x:c r="N298" t="str">
        <x:f>IF(B298="","",IF(J298&lt;&gt;"Completed","Not counted",IF(H298&lt;=0,"CHECK TIME","OK")))</x:f>
      </x:c>
    </x:row>
    <x:row r="299">
      <x:c r="A299" t="str">
        <x:f>IF(B299="","",ROW()-1)</x:f>
      </x:c>
      <x:c r="B299" s="24"/>
      <x:c r="C299" t="str">
        <x:f>IF(B299="","",TEXT(B299,"mmm-yyyy"))</x:f>
      </x:c>
      <x:c r="D299" t="str">
        <x:f>IF(B299="","",TEXT(B299,"ddd"))</x:f>
      </x:c>
      <x:c r="E299" s="32"/>
      <x:c r="F299" s="32"/>
      <x:c r="G299"/>
      <x:c r="H299" s="22" t="n">
        <x:f>IF(OR(B299="",J299&lt;&gt;"Completed"),0,IF(AND(ISNUMBER(E299),ISNUMBER(F299)),ROUND(((F299-E299)+(F299&lt;E299))*24-(N(G299)/60),2),0))</x:f>
        <x:v>0</x:v>
      </x:c>
      <x:c r="I299" s="34" t="str">
        <x:f>IF(H299=0,"",H299/24)</x:f>
      </x:c>
      <x:c r="J299"/>
      <x:c r="K299" s="22" t="str">
        <x:f>IF(B299="","",START_HERE!$B$7)</x:f>
      </x:c>
      <x:c r="L299" s="22" t="str">
        <x:f>IF(B299="","",ROUND(K299-H299,2))</x:f>
      </x:c>
      <x:c r="M299"/>
      <x:c r="N299" t="str">
        <x:f>IF(B299="","",IF(J299&lt;&gt;"Completed","Not counted",IF(H299&lt;=0,"CHECK TIME","OK")))</x:f>
      </x:c>
    </x:row>
    <x:row r="300">
      <x:c r="A300" t="str">
        <x:f>IF(B300="","",ROW()-1)</x:f>
      </x:c>
      <x:c r="B300" s="24"/>
      <x:c r="C300" t="str">
        <x:f>IF(B300="","",TEXT(B300,"mmm-yyyy"))</x:f>
      </x:c>
      <x:c r="D300" t="str">
        <x:f>IF(B300="","",TEXT(B300,"ddd"))</x:f>
      </x:c>
      <x:c r="E300" s="32"/>
      <x:c r="F300" s="32"/>
      <x:c r="G300"/>
      <x:c r="H300" s="22" t="n">
        <x:f>IF(OR(B300="",J300&lt;&gt;"Completed"),0,IF(AND(ISNUMBER(E300),ISNUMBER(F300)),ROUND(((F300-E300)+(F300&lt;E300))*24-(N(G300)/60),2),0))</x:f>
        <x:v>0</x:v>
      </x:c>
      <x:c r="I300" s="34" t="str">
        <x:f>IF(H300=0,"",H300/24)</x:f>
      </x:c>
      <x:c r="J300"/>
      <x:c r="K300" s="22" t="str">
        <x:f>IF(B300="","",START_HERE!$B$7)</x:f>
      </x:c>
      <x:c r="L300" s="22" t="str">
        <x:f>IF(B300="","",ROUND(K300-H300,2))</x:f>
      </x:c>
      <x:c r="M300"/>
      <x:c r="N300" t="str">
        <x:f>IF(B300="","",IF(J300&lt;&gt;"Completed","Not counted",IF(H300&lt;=0,"CHECK TIME","OK")))</x:f>
      </x:c>
    </x:row>
    <x:row r="301">
      <x:c r="A301" t="str">
        <x:f>IF(B301="","",ROW()-1)</x:f>
      </x:c>
      <x:c r="B301" s="24"/>
      <x:c r="C301" t="str">
        <x:f>IF(B301="","",TEXT(B301,"mmm-yyyy"))</x:f>
      </x:c>
      <x:c r="D301" t="str">
        <x:f>IF(B301="","",TEXT(B301,"ddd"))</x:f>
      </x:c>
      <x:c r="E301" s="32"/>
      <x:c r="F301" s="32"/>
      <x:c r="G301"/>
      <x:c r="H301" s="22" t="n">
        <x:f>IF(OR(B301="",J301&lt;&gt;"Completed"),0,IF(AND(ISNUMBER(E301),ISNUMBER(F301)),ROUND(((F301-E301)+(F301&lt;E301))*24-(N(G301)/60),2),0))</x:f>
        <x:v>0</x:v>
      </x:c>
      <x:c r="I301" s="34" t="str">
        <x:f>IF(H301=0,"",H301/24)</x:f>
      </x:c>
      <x:c r="J301"/>
      <x:c r="K301" s="22" t="str">
        <x:f>IF(B301="","",START_HERE!$B$7)</x:f>
      </x:c>
      <x:c r="L301" s="22" t="str">
        <x:f>IF(B301="","",ROUND(K301-H301,2))</x:f>
      </x:c>
      <x:c r="M301"/>
      <x:c r="N301" t="str">
        <x:f>IF(B301="","",IF(J301&lt;&gt;"Completed","Not counted",IF(H301&lt;=0,"CHECK TIME","OK")))</x:f>
      </x:c>
    </x:row>
    <x:row r="302">
      <x:c r="A302" t="str">
        <x:f>IF(B302="","",ROW()-1)</x:f>
      </x:c>
      <x:c r="B302" s="24"/>
      <x:c r="C302" t="str">
        <x:f>IF(B302="","",TEXT(B302,"mmm-yyyy"))</x:f>
      </x:c>
      <x:c r="D302" t="str">
        <x:f>IF(B302="","",TEXT(B302,"ddd"))</x:f>
      </x:c>
      <x:c r="E302" s="32"/>
      <x:c r="F302" s="32"/>
      <x:c r="G302"/>
      <x:c r="H302" s="22" t="n">
        <x:f>IF(OR(B302="",J302&lt;&gt;"Completed"),0,IF(AND(ISNUMBER(E302),ISNUMBER(F302)),ROUND(((F302-E302)+(F302&lt;E302))*24-(N(G302)/60),2),0))</x:f>
        <x:v>0</x:v>
      </x:c>
      <x:c r="I302" s="34" t="str">
        <x:f>IF(H302=0,"",H302/24)</x:f>
      </x:c>
      <x:c r="J302"/>
      <x:c r="K302" s="22" t="str">
        <x:f>IF(B302="","",START_HERE!$B$7)</x:f>
      </x:c>
      <x:c r="L302" s="22" t="str">
        <x:f>IF(B302="","",ROUND(K302-H302,2))</x:f>
      </x:c>
      <x:c r="M302"/>
      <x:c r="N302" t="str">
        <x:f>IF(B302="","",IF(J302&lt;&gt;"Completed","Not counted",IF(H302&lt;=0,"CHECK TIME","OK")))</x:f>
      </x:c>
    </x:row>
    <x:row r="303">
      <x:c r="A303" t="str">
        <x:f>IF(B303="","",ROW()-1)</x:f>
      </x:c>
      <x:c r="B303" s="24"/>
      <x:c r="C303" t="str">
        <x:f>IF(B303="","",TEXT(B303,"mmm-yyyy"))</x:f>
      </x:c>
      <x:c r="D303" t="str">
        <x:f>IF(B303="","",TEXT(B303,"ddd"))</x:f>
      </x:c>
      <x:c r="E303" s="32"/>
      <x:c r="F303" s="32"/>
      <x:c r="G303"/>
      <x:c r="H303" s="22" t="n">
        <x:f>IF(OR(B303="",J303&lt;&gt;"Completed"),0,IF(AND(ISNUMBER(E303),ISNUMBER(F303)),ROUND(((F303-E303)+(F303&lt;E303))*24-(N(G303)/60),2),0))</x:f>
        <x:v>0</x:v>
      </x:c>
      <x:c r="I303" s="34" t="str">
        <x:f>IF(H303=0,"",H303/24)</x:f>
      </x:c>
      <x:c r="J303"/>
      <x:c r="K303" s="22" t="str">
        <x:f>IF(B303="","",START_HERE!$B$7)</x:f>
      </x:c>
      <x:c r="L303" s="22" t="str">
        <x:f>IF(B303="","",ROUND(K303-H303,2))</x:f>
      </x:c>
      <x:c r="M303"/>
      <x:c r="N303" t="str">
        <x:f>IF(B303="","",IF(J303&lt;&gt;"Completed","Not counted",IF(H303&lt;=0,"CHECK TIME","OK")))</x:f>
      </x:c>
    </x:row>
    <x:row r="304">
      <x:c r="A304" t="str">
        <x:f>IF(B304="","",ROW()-1)</x:f>
      </x:c>
      <x:c r="B304" s="24"/>
      <x:c r="C304" t="str">
        <x:f>IF(B304="","",TEXT(B304,"mmm-yyyy"))</x:f>
      </x:c>
      <x:c r="D304" t="str">
        <x:f>IF(B304="","",TEXT(B304,"ddd"))</x:f>
      </x:c>
      <x:c r="E304" s="32"/>
      <x:c r="F304" s="32"/>
      <x:c r="G304"/>
      <x:c r="H304" s="22" t="n">
        <x:f>IF(OR(B304="",J304&lt;&gt;"Completed"),0,IF(AND(ISNUMBER(E304),ISNUMBER(F304)),ROUND(((F304-E304)+(F304&lt;E304))*24-(N(G304)/60),2),0))</x:f>
        <x:v>0</x:v>
      </x:c>
      <x:c r="I304" s="34" t="str">
        <x:f>IF(H304=0,"",H304/24)</x:f>
      </x:c>
      <x:c r="J304"/>
      <x:c r="K304" s="22" t="str">
        <x:f>IF(B304="","",START_HERE!$B$7)</x:f>
      </x:c>
      <x:c r="L304" s="22" t="str">
        <x:f>IF(B304="","",ROUND(K304-H304,2))</x:f>
      </x:c>
      <x:c r="M304"/>
      <x:c r="N304" t="str">
        <x:f>IF(B304="","",IF(J304&lt;&gt;"Completed","Not counted",IF(H304&lt;=0,"CHECK TIME","OK")))</x:f>
      </x:c>
    </x:row>
    <x:row r="305">
      <x:c r="A305" t="str">
        <x:f>IF(B305="","",ROW()-1)</x:f>
      </x:c>
      <x:c r="B305" s="24"/>
      <x:c r="C305" t="str">
        <x:f>IF(B305="","",TEXT(B305,"mmm-yyyy"))</x:f>
      </x:c>
      <x:c r="D305" t="str">
        <x:f>IF(B305="","",TEXT(B305,"ddd"))</x:f>
      </x:c>
      <x:c r="E305" s="32"/>
      <x:c r="F305" s="32"/>
      <x:c r="G305"/>
      <x:c r="H305" s="22" t="n">
        <x:f>IF(OR(B305="",J305&lt;&gt;"Completed"),0,IF(AND(ISNUMBER(E305),ISNUMBER(F305)),ROUND(((F305-E305)+(F305&lt;E305))*24-(N(G305)/60),2),0))</x:f>
        <x:v>0</x:v>
      </x:c>
      <x:c r="I305" s="34" t="str">
        <x:f>IF(H305=0,"",H305/24)</x:f>
      </x:c>
      <x:c r="J305"/>
      <x:c r="K305" s="22" t="str">
        <x:f>IF(B305="","",START_HERE!$B$7)</x:f>
      </x:c>
      <x:c r="L305" s="22" t="str">
        <x:f>IF(B305="","",ROUND(K305-H305,2))</x:f>
      </x:c>
      <x:c r="M305"/>
      <x:c r="N305" t="str">
        <x:f>IF(B305="","",IF(J305&lt;&gt;"Completed","Not counted",IF(H305&lt;=0,"CHECK TIME","OK")))</x:f>
      </x:c>
    </x:row>
    <x:row r="306">
      <x:c r="A306" t="str">
        <x:f>IF(B306="","",ROW()-1)</x:f>
      </x:c>
      <x:c r="B306" s="24"/>
      <x:c r="C306" t="str">
        <x:f>IF(B306="","",TEXT(B306,"mmm-yyyy"))</x:f>
      </x:c>
      <x:c r="D306" t="str">
        <x:f>IF(B306="","",TEXT(B306,"ddd"))</x:f>
      </x:c>
      <x:c r="E306" s="32"/>
      <x:c r="F306" s="32"/>
      <x:c r="G306"/>
      <x:c r="H306" s="22" t="n">
        <x:f>IF(OR(B306="",J306&lt;&gt;"Completed"),0,IF(AND(ISNUMBER(E306),ISNUMBER(F306)),ROUND(((F306-E306)+(F306&lt;E306))*24-(N(G306)/60),2),0))</x:f>
        <x:v>0</x:v>
      </x:c>
      <x:c r="I306" s="34" t="str">
        <x:f>IF(H306=0,"",H306/24)</x:f>
      </x:c>
      <x:c r="J306"/>
      <x:c r="K306" s="22" t="str">
        <x:f>IF(B306="","",START_HERE!$B$7)</x:f>
      </x:c>
      <x:c r="L306" s="22" t="str">
        <x:f>IF(B306="","",ROUND(K306-H306,2))</x:f>
      </x:c>
      <x:c r="M306"/>
      <x:c r="N306" t="str">
        <x:f>IF(B306="","",IF(J306&lt;&gt;"Completed","Not counted",IF(H306&lt;=0,"CHECK TIME","OK")))</x:f>
      </x:c>
    </x:row>
    <x:row r="307">
      <x:c r="A307" t="str">
        <x:f>IF(B307="","",ROW()-1)</x:f>
      </x:c>
      <x:c r="B307" s="24"/>
      <x:c r="C307" t="str">
        <x:f>IF(B307="","",TEXT(B307,"mmm-yyyy"))</x:f>
      </x:c>
      <x:c r="D307" t="str">
        <x:f>IF(B307="","",TEXT(B307,"ddd"))</x:f>
      </x:c>
      <x:c r="E307" s="32"/>
      <x:c r="F307" s="32"/>
      <x:c r="G307"/>
      <x:c r="H307" s="22" t="n">
        <x:f>IF(OR(B307="",J307&lt;&gt;"Completed"),0,IF(AND(ISNUMBER(E307),ISNUMBER(F307)),ROUND(((F307-E307)+(F307&lt;E307))*24-(N(G307)/60),2),0))</x:f>
        <x:v>0</x:v>
      </x:c>
      <x:c r="I307" s="34" t="str">
        <x:f>IF(H307=0,"",H307/24)</x:f>
      </x:c>
      <x:c r="J307"/>
      <x:c r="K307" s="22" t="str">
        <x:f>IF(B307="","",START_HERE!$B$7)</x:f>
      </x:c>
      <x:c r="L307" s="22" t="str">
        <x:f>IF(B307="","",ROUND(K307-H307,2))</x:f>
      </x:c>
      <x:c r="M307"/>
      <x:c r="N307" t="str">
        <x:f>IF(B307="","",IF(J307&lt;&gt;"Completed","Not counted",IF(H307&lt;=0,"CHECK TIME","OK")))</x:f>
      </x:c>
    </x:row>
    <x:row r="308">
      <x:c r="A308" t="str">
        <x:f>IF(B308="","",ROW()-1)</x:f>
      </x:c>
      <x:c r="B308" s="24"/>
      <x:c r="C308" t="str">
        <x:f>IF(B308="","",TEXT(B308,"mmm-yyyy"))</x:f>
      </x:c>
      <x:c r="D308" t="str">
        <x:f>IF(B308="","",TEXT(B308,"ddd"))</x:f>
      </x:c>
      <x:c r="E308" s="32"/>
      <x:c r="F308" s="32"/>
      <x:c r="G308"/>
      <x:c r="H308" s="22" t="n">
        <x:f>IF(OR(B308="",J308&lt;&gt;"Completed"),0,IF(AND(ISNUMBER(E308),ISNUMBER(F308)),ROUND(((F308-E308)+(F308&lt;E308))*24-(N(G308)/60),2),0))</x:f>
        <x:v>0</x:v>
      </x:c>
      <x:c r="I308" s="34" t="str">
        <x:f>IF(H308=0,"",H308/24)</x:f>
      </x:c>
      <x:c r="J308"/>
      <x:c r="K308" s="22" t="str">
        <x:f>IF(B308="","",START_HERE!$B$7)</x:f>
      </x:c>
      <x:c r="L308" s="22" t="str">
        <x:f>IF(B308="","",ROUND(K308-H308,2))</x:f>
      </x:c>
      <x:c r="M308"/>
      <x:c r="N308" t="str">
        <x:f>IF(B308="","",IF(J308&lt;&gt;"Completed","Not counted",IF(H308&lt;=0,"CHECK TIME","OK")))</x:f>
      </x:c>
    </x:row>
    <x:row r="309">
      <x:c r="A309" t="str">
        <x:f>IF(B309="","",ROW()-1)</x:f>
      </x:c>
      <x:c r="B309" s="24"/>
      <x:c r="C309" t="str">
        <x:f>IF(B309="","",TEXT(B309,"mmm-yyyy"))</x:f>
      </x:c>
      <x:c r="D309" t="str">
        <x:f>IF(B309="","",TEXT(B309,"ddd"))</x:f>
      </x:c>
      <x:c r="E309" s="32"/>
      <x:c r="F309" s="32"/>
      <x:c r="G309"/>
      <x:c r="H309" s="22" t="n">
        <x:f>IF(OR(B309="",J309&lt;&gt;"Completed"),0,IF(AND(ISNUMBER(E309),ISNUMBER(F309)),ROUND(((F309-E309)+(F309&lt;E309))*24-(N(G309)/60),2),0))</x:f>
        <x:v>0</x:v>
      </x:c>
      <x:c r="I309" s="34" t="str">
        <x:f>IF(H309=0,"",H309/24)</x:f>
      </x:c>
      <x:c r="J309"/>
      <x:c r="K309" s="22" t="str">
        <x:f>IF(B309="","",START_HERE!$B$7)</x:f>
      </x:c>
      <x:c r="L309" s="22" t="str">
        <x:f>IF(B309="","",ROUND(K309-H309,2))</x:f>
      </x:c>
      <x:c r="M309"/>
      <x:c r="N309" t="str">
        <x:f>IF(B309="","",IF(J309&lt;&gt;"Completed","Not counted",IF(H309&lt;=0,"CHECK TIME","OK")))</x:f>
      </x:c>
    </x:row>
    <x:row r="310">
      <x:c r="A310" t="str">
        <x:f>IF(B310="","",ROW()-1)</x:f>
      </x:c>
      <x:c r="B310" s="24"/>
      <x:c r="C310" t="str">
        <x:f>IF(B310="","",TEXT(B310,"mmm-yyyy"))</x:f>
      </x:c>
      <x:c r="D310" t="str">
        <x:f>IF(B310="","",TEXT(B310,"ddd"))</x:f>
      </x:c>
      <x:c r="E310" s="32"/>
      <x:c r="F310" s="32"/>
      <x:c r="G310"/>
      <x:c r="H310" s="22" t="n">
        <x:f>IF(OR(B310="",J310&lt;&gt;"Completed"),0,IF(AND(ISNUMBER(E310),ISNUMBER(F310)),ROUND(((F310-E310)+(F310&lt;E310))*24-(N(G310)/60),2),0))</x:f>
        <x:v>0</x:v>
      </x:c>
      <x:c r="I310" s="34" t="str">
        <x:f>IF(H310=0,"",H310/24)</x:f>
      </x:c>
      <x:c r="J310"/>
      <x:c r="K310" s="22" t="str">
        <x:f>IF(B310="","",START_HERE!$B$7)</x:f>
      </x:c>
      <x:c r="L310" s="22" t="str">
        <x:f>IF(B310="","",ROUND(K310-H310,2))</x:f>
      </x:c>
      <x:c r="M310"/>
      <x:c r="N310" t="str">
        <x:f>IF(B310="","",IF(J310&lt;&gt;"Completed","Not counted",IF(H310&lt;=0,"CHECK TIME","OK")))</x:f>
      </x:c>
    </x:row>
    <x:row r="311">
      <x:c r="A311" t="str">
        <x:f>IF(B311="","",ROW()-1)</x:f>
      </x:c>
      <x:c r="B311" s="24"/>
      <x:c r="C311" t="str">
        <x:f>IF(B311="","",TEXT(B311,"mmm-yyyy"))</x:f>
      </x:c>
      <x:c r="D311" t="str">
        <x:f>IF(B311="","",TEXT(B311,"ddd"))</x:f>
      </x:c>
      <x:c r="E311" s="32"/>
      <x:c r="F311" s="32"/>
      <x:c r="G311"/>
      <x:c r="H311" s="22" t="n">
        <x:f>IF(OR(B311="",J311&lt;&gt;"Completed"),0,IF(AND(ISNUMBER(E311),ISNUMBER(F311)),ROUND(((F311-E311)+(F311&lt;E311))*24-(N(G311)/60),2),0))</x:f>
        <x:v>0</x:v>
      </x:c>
      <x:c r="I311" s="34" t="str">
        <x:f>IF(H311=0,"",H311/24)</x:f>
      </x:c>
      <x:c r="J311"/>
      <x:c r="K311" s="22" t="str">
        <x:f>IF(B311="","",START_HERE!$B$7)</x:f>
      </x:c>
      <x:c r="L311" s="22" t="str">
        <x:f>IF(B311="","",ROUND(K311-H311,2))</x:f>
      </x:c>
      <x:c r="M311"/>
      <x:c r="N311" t="str">
        <x:f>IF(B311="","",IF(J311&lt;&gt;"Completed","Not counted",IF(H311&lt;=0,"CHECK TIME","OK")))</x:f>
      </x:c>
    </x:row>
    <x:row r="312">
      <x:c r="A312" t="str">
        <x:f>IF(B312="","",ROW()-1)</x:f>
      </x:c>
      <x:c r="B312" s="24"/>
      <x:c r="C312" t="str">
        <x:f>IF(B312="","",TEXT(B312,"mmm-yyyy"))</x:f>
      </x:c>
      <x:c r="D312" t="str">
        <x:f>IF(B312="","",TEXT(B312,"ddd"))</x:f>
      </x:c>
      <x:c r="E312" s="32"/>
      <x:c r="F312" s="32"/>
      <x:c r="G312"/>
      <x:c r="H312" s="22" t="n">
        <x:f>IF(OR(B312="",J312&lt;&gt;"Completed"),0,IF(AND(ISNUMBER(E312),ISNUMBER(F312)),ROUND(((F312-E312)+(F312&lt;E312))*24-(N(G312)/60),2),0))</x:f>
        <x:v>0</x:v>
      </x:c>
      <x:c r="I312" s="34" t="str">
        <x:f>IF(H312=0,"",H312/24)</x:f>
      </x:c>
      <x:c r="J312"/>
      <x:c r="K312" s="22" t="str">
        <x:f>IF(B312="","",START_HERE!$B$7)</x:f>
      </x:c>
      <x:c r="L312" s="22" t="str">
        <x:f>IF(B312="","",ROUND(K312-H312,2))</x:f>
      </x:c>
      <x:c r="M312"/>
      <x:c r="N312" t="str">
        <x:f>IF(B312="","",IF(J312&lt;&gt;"Completed","Not counted",IF(H312&lt;=0,"CHECK TIME","OK")))</x:f>
      </x:c>
    </x:row>
    <x:row r="313">
      <x:c r="A313" t="str">
        <x:f>IF(B313="","",ROW()-1)</x:f>
      </x:c>
      <x:c r="B313" s="24"/>
      <x:c r="C313" t="str">
        <x:f>IF(B313="","",TEXT(B313,"mmm-yyyy"))</x:f>
      </x:c>
      <x:c r="D313" t="str">
        <x:f>IF(B313="","",TEXT(B313,"ddd"))</x:f>
      </x:c>
      <x:c r="E313" s="32"/>
      <x:c r="F313" s="32"/>
      <x:c r="G313"/>
      <x:c r="H313" s="22" t="n">
        <x:f>IF(OR(B313="",J313&lt;&gt;"Completed"),0,IF(AND(ISNUMBER(E313),ISNUMBER(F313)),ROUND(((F313-E313)+(F313&lt;E313))*24-(N(G313)/60),2),0))</x:f>
        <x:v>0</x:v>
      </x:c>
      <x:c r="I313" s="34" t="str">
        <x:f>IF(H313=0,"",H313/24)</x:f>
      </x:c>
      <x:c r="J313"/>
      <x:c r="K313" s="22" t="str">
        <x:f>IF(B313="","",START_HERE!$B$7)</x:f>
      </x:c>
      <x:c r="L313" s="22" t="str">
        <x:f>IF(B313="","",ROUND(K313-H313,2))</x:f>
      </x:c>
      <x:c r="M313"/>
      <x:c r="N313" t="str">
        <x:f>IF(B313="","",IF(J313&lt;&gt;"Completed","Not counted",IF(H313&lt;=0,"CHECK TIME","OK")))</x:f>
      </x:c>
    </x:row>
    <x:row r="314">
      <x:c r="A314" t="str">
        <x:f>IF(B314="","",ROW()-1)</x:f>
      </x:c>
      <x:c r="B314" s="24"/>
      <x:c r="C314" t="str">
        <x:f>IF(B314="","",TEXT(B314,"mmm-yyyy"))</x:f>
      </x:c>
      <x:c r="D314" t="str">
        <x:f>IF(B314="","",TEXT(B314,"ddd"))</x:f>
      </x:c>
      <x:c r="E314" s="32"/>
      <x:c r="F314" s="32"/>
      <x:c r="G314"/>
      <x:c r="H314" s="22" t="n">
        <x:f>IF(OR(B314="",J314&lt;&gt;"Completed"),0,IF(AND(ISNUMBER(E314),ISNUMBER(F314)),ROUND(((F314-E314)+(F314&lt;E314))*24-(N(G314)/60),2),0))</x:f>
        <x:v>0</x:v>
      </x:c>
      <x:c r="I314" s="34" t="str">
        <x:f>IF(H314=0,"",H314/24)</x:f>
      </x:c>
      <x:c r="J314"/>
      <x:c r="K314" s="22" t="str">
        <x:f>IF(B314="","",START_HERE!$B$7)</x:f>
      </x:c>
      <x:c r="L314" s="22" t="str">
        <x:f>IF(B314="","",ROUND(K314-H314,2))</x:f>
      </x:c>
      <x:c r="M314"/>
      <x:c r="N314" t="str">
        <x:f>IF(B314="","",IF(J314&lt;&gt;"Completed","Not counted",IF(H314&lt;=0,"CHECK TIME","OK")))</x:f>
      </x:c>
    </x:row>
    <x:row r="315">
      <x:c r="A315" t="str">
        <x:f>IF(B315="","",ROW()-1)</x:f>
      </x:c>
      <x:c r="B315" s="24"/>
      <x:c r="C315" t="str">
        <x:f>IF(B315="","",TEXT(B315,"mmm-yyyy"))</x:f>
      </x:c>
      <x:c r="D315" t="str">
        <x:f>IF(B315="","",TEXT(B315,"ddd"))</x:f>
      </x:c>
      <x:c r="E315" s="32"/>
      <x:c r="F315" s="32"/>
      <x:c r="G315"/>
      <x:c r="H315" s="22" t="n">
        <x:f>IF(OR(B315="",J315&lt;&gt;"Completed"),0,IF(AND(ISNUMBER(E315),ISNUMBER(F315)),ROUND(((F315-E315)+(F315&lt;E315))*24-(N(G315)/60),2),0))</x:f>
        <x:v>0</x:v>
      </x:c>
      <x:c r="I315" s="34" t="str">
        <x:f>IF(H315=0,"",H315/24)</x:f>
      </x:c>
      <x:c r="J315"/>
      <x:c r="K315" s="22" t="str">
        <x:f>IF(B315="","",START_HERE!$B$7)</x:f>
      </x:c>
      <x:c r="L315" s="22" t="str">
        <x:f>IF(B315="","",ROUND(K315-H315,2))</x:f>
      </x:c>
      <x:c r="M315"/>
      <x:c r="N315" t="str">
        <x:f>IF(B315="","",IF(J315&lt;&gt;"Completed","Not counted",IF(H315&lt;=0,"CHECK TIME","OK")))</x:f>
      </x:c>
    </x:row>
    <x:row r="316">
      <x:c r="A316" t="str">
        <x:f>IF(B316="","",ROW()-1)</x:f>
      </x:c>
      <x:c r="B316" s="24"/>
      <x:c r="C316" t="str">
        <x:f>IF(B316="","",TEXT(B316,"mmm-yyyy"))</x:f>
      </x:c>
      <x:c r="D316" t="str">
        <x:f>IF(B316="","",TEXT(B316,"ddd"))</x:f>
      </x:c>
      <x:c r="E316" s="32"/>
      <x:c r="F316" s="32"/>
      <x:c r="G316"/>
      <x:c r="H316" s="22" t="n">
        <x:f>IF(OR(B316="",J316&lt;&gt;"Completed"),0,IF(AND(ISNUMBER(E316),ISNUMBER(F316)),ROUND(((F316-E316)+(F316&lt;E316))*24-(N(G316)/60),2),0))</x:f>
        <x:v>0</x:v>
      </x:c>
      <x:c r="I316" s="34" t="str">
        <x:f>IF(H316=0,"",H316/24)</x:f>
      </x:c>
      <x:c r="J316"/>
      <x:c r="K316" s="22" t="str">
        <x:f>IF(B316="","",START_HERE!$B$7)</x:f>
      </x:c>
      <x:c r="L316" s="22" t="str">
        <x:f>IF(B316="","",ROUND(K316-H316,2))</x:f>
      </x:c>
      <x:c r="M316"/>
      <x:c r="N316" t="str">
        <x:f>IF(B316="","",IF(J316&lt;&gt;"Completed","Not counted",IF(H316&lt;=0,"CHECK TIME","OK")))</x:f>
      </x:c>
    </x:row>
    <x:row r="317">
      <x:c r="A317" t="str">
        <x:f>IF(B317="","",ROW()-1)</x:f>
      </x:c>
      <x:c r="B317" s="24"/>
      <x:c r="C317" t="str">
        <x:f>IF(B317="","",TEXT(B317,"mmm-yyyy"))</x:f>
      </x:c>
      <x:c r="D317" t="str">
        <x:f>IF(B317="","",TEXT(B317,"ddd"))</x:f>
      </x:c>
      <x:c r="E317" s="32"/>
      <x:c r="F317" s="32"/>
      <x:c r="G317"/>
      <x:c r="H317" s="22" t="n">
        <x:f>IF(OR(B317="",J317&lt;&gt;"Completed"),0,IF(AND(ISNUMBER(E317),ISNUMBER(F317)),ROUND(((F317-E317)+(F317&lt;E317))*24-(N(G317)/60),2),0))</x:f>
        <x:v>0</x:v>
      </x:c>
      <x:c r="I317" s="34" t="str">
        <x:f>IF(H317=0,"",H317/24)</x:f>
      </x:c>
      <x:c r="J317"/>
      <x:c r="K317" s="22" t="str">
        <x:f>IF(B317="","",START_HERE!$B$7)</x:f>
      </x:c>
      <x:c r="L317" s="22" t="str">
        <x:f>IF(B317="","",ROUND(K317-H317,2))</x:f>
      </x:c>
      <x:c r="M317"/>
      <x:c r="N317" t="str">
        <x:f>IF(B317="","",IF(J317&lt;&gt;"Completed","Not counted",IF(H317&lt;=0,"CHECK TIME","OK")))</x:f>
      </x:c>
    </x:row>
    <x:row r="318">
      <x:c r="A318" t="str">
        <x:f>IF(B318="","",ROW()-1)</x:f>
      </x:c>
      <x:c r="B318" s="24"/>
      <x:c r="C318" t="str">
        <x:f>IF(B318="","",TEXT(B318,"mmm-yyyy"))</x:f>
      </x:c>
      <x:c r="D318" t="str">
        <x:f>IF(B318="","",TEXT(B318,"ddd"))</x:f>
      </x:c>
      <x:c r="E318" s="32"/>
      <x:c r="F318" s="32"/>
      <x:c r="G318"/>
      <x:c r="H318" s="22" t="n">
        <x:f>IF(OR(B318="",J318&lt;&gt;"Completed"),0,IF(AND(ISNUMBER(E318),ISNUMBER(F318)),ROUND(((F318-E318)+(F318&lt;E318))*24-(N(G318)/60),2),0))</x:f>
        <x:v>0</x:v>
      </x:c>
      <x:c r="I318" s="34" t="str">
        <x:f>IF(H318=0,"",H318/24)</x:f>
      </x:c>
      <x:c r="J318"/>
      <x:c r="K318" s="22" t="str">
        <x:f>IF(B318="","",START_HERE!$B$7)</x:f>
      </x:c>
      <x:c r="L318" s="22" t="str">
        <x:f>IF(B318="","",ROUND(K318-H318,2))</x:f>
      </x:c>
      <x:c r="M318"/>
      <x:c r="N318" t="str">
        <x:f>IF(B318="","",IF(J318&lt;&gt;"Completed","Not counted",IF(H318&lt;=0,"CHECK TIME","OK")))</x:f>
      </x:c>
    </x:row>
    <x:row r="319">
      <x:c r="A319" t="str">
        <x:f>IF(B319="","",ROW()-1)</x:f>
      </x:c>
      <x:c r="B319" s="24"/>
      <x:c r="C319" t="str">
        <x:f>IF(B319="","",TEXT(B319,"mmm-yyyy"))</x:f>
      </x:c>
      <x:c r="D319" t="str">
        <x:f>IF(B319="","",TEXT(B319,"ddd"))</x:f>
      </x:c>
      <x:c r="E319" s="32"/>
      <x:c r="F319" s="32"/>
      <x:c r="G319"/>
      <x:c r="H319" s="22" t="n">
        <x:f>IF(OR(B319="",J319&lt;&gt;"Completed"),0,IF(AND(ISNUMBER(E319),ISNUMBER(F319)),ROUND(((F319-E319)+(F319&lt;E319))*24-(N(G319)/60),2),0))</x:f>
        <x:v>0</x:v>
      </x:c>
      <x:c r="I319" s="34" t="str">
        <x:f>IF(H319=0,"",H319/24)</x:f>
      </x:c>
      <x:c r="J319"/>
      <x:c r="K319" s="22" t="str">
        <x:f>IF(B319="","",START_HERE!$B$7)</x:f>
      </x:c>
      <x:c r="L319" s="22" t="str">
        <x:f>IF(B319="","",ROUND(K319-H319,2))</x:f>
      </x:c>
      <x:c r="M319"/>
      <x:c r="N319" t="str">
        <x:f>IF(B319="","",IF(J319&lt;&gt;"Completed","Not counted",IF(H319&lt;=0,"CHECK TIME","OK")))</x:f>
      </x:c>
    </x:row>
    <x:row r="320">
      <x:c r="A320" t="str">
        <x:f>IF(B320="","",ROW()-1)</x:f>
      </x:c>
      <x:c r="B320" s="24"/>
      <x:c r="C320" t="str">
        <x:f>IF(B320="","",TEXT(B320,"mmm-yyyy"))</x:f>
      </x:c>
      <x:c r="D320" t="str">
        <x:f>IF(B320="","",TEXT(B320,"ddd"))</x:f>
      </x:c>
      <x:c r="E320" s="32"/>
      <x:c r="F320" s="32"/>
      <x:c r="G320"/>
      <x:c r="H320" s="22" t="n">
        <x:f>IF(OR(B320="",J320&lt;&gt;"Completed"),0,IF(AND(ISNUMBER(E320),ISNUMBER(F320)),ROUND(((F320-E320)+(F320&lt;E320))*24-(N(G320)/60),2),0))</x:f>
        <x:v>0</x:v>
      </x:c>
      <x:c r="I320" s="34" t="str">
        <x:f>IF(H320=0,"",H320/24)</x:f>
      </x:c>
      <x:c r="J320"/>
      <x:c r="K320" s="22" t="str">
        <x:f>IF(B320="","",START_HERE!$B$7)</x:f>
      </x:c>
      <x:c r="L320" s="22" t="str">
        <x:f>IF(B320="","",ROUND(K320-H320,2))</x:f>
      </x:c>
      <x:c r="M320"/>
      <x:c r="N320" t="str">
        <x:f>IF(B320="","",IF(J320&lt;&gt;"Completed","Not counted",IF(H320&lt;=0,"CHECK TIME","OK")))</x:f>
      </x:c>
    </x:row>
    <x:row r="321">
      <x:c r="A321" t="str">
        <x:f>IF(B321="","",ROW()-1)</x:f>
      </x:c>
      <x:c r="B321" s="24"/>
      <x:c r="C321" t="str">
        <x:f>IF(B321="","",TEXT(B321,"mmm-yyyy"))</x:f>
      </x:c>
      <x:c r="D321" t="str">
        <x:f>IF(B321="","",TEXT(B321,"ddd"))</x:f>
      </x:c>
      <x:c r="E321" s="32"/>
      <x:c r="F321" s="32"/>
      <x:c r="G321"/>
      <x:c r="H321" s="22" t="n">
        <x:f>IF(OR(B321="",J321&lt;&gt;"Completed"),0,IF(AND(ISNUMBER(E321),ISNUMBER(F321)),ROUND(((F321-E321)+(F321&lt;E321))*24-(N(G321)/60),2),0))</x:f>
        <x:v>0</x:v>
      </x:c>
      <x:c r="I321" s="34" t="str">
        <x:f>IF(H321=0,"",H321/24)</x:f>
      </x:c>
      <x:c r="J321"/>
      <x:c r="K321" s="22" t="str">
        <x:f>IF(B321="","",START_HERE!$B$7)</x:f>
      </x:c>
      <x:c r="L321" s="22" t="str">
        <x:f>IF(B321="","",ROUND(K321-H321,2))</x:f>
      </x:c>
      <x:c r="M321"/>
      <x:c r="N321" t="str">
        <x:f>IF(B321="","",IF(J321&lt;&gt;"Completed","Not counted",IF(H321&lt;=0,"CHECK TIME","OK")))</x:f>
      </x:c>
    </x:row>
    <x:row r="322">
      <x:c r="A322" t="str">
        <x:f>IF(B322="","",ROW()-1)</x:f>
      </x:c>
      <x:c r="B322" s="24"/>
      <x:c r="C322" t="str">
        <x:f>IF(B322="","",TEXT(B322,"mmm-yyyy"))</x:f>
      </x:c>
      <x:c r="D322" t="str">
        <x:f>IF(B322="","",TEXT(B322,"ddd"))</x:f>
      </x:c>
      <x:c r="E322" s="32"/>
      <x:c r="F322" s="32"/>
      <x:c r="G322"/>
      <x:c r="H322" s="22" t="n">
        <x:f>IF(OR(B322="",J322&lt;&gt;"Completed"),0,IF(AND(ISNUMBER(E322),ISNUMBER(F322)),ROUND(((F322-E322)+(F322&lt;E322))*24-(N(G322)/60),2),0))</x:f>
        <x:v>0</x:v>
      </x:c>
      <x:c r="I322" s="34" t="str">
        <x:f>IF(H322=0,"",H322/24)</x:f>
      </x:c>
      <x:c r="J322"/>
      <x:c r="K322" s="22" t="str">
        <x:f>IF(B322="","",START_HERE!$B$7)</x:f>
      </x:c>
      <x:c r="L322" s="22" t="str">
        <x:f>IF(B322="","",ROUND(K322-H322,2))</x:f>
      </x:c>
      <x:c r="M322"/>
      <x:c r="N322" t="str">
        <x:f>IF(B322="","",IF(J322&lt;&gt;"Completed","Not counted",IF(H322&lt;=0,"CHECK TIME","OK")))</x:f>
      </x:c>
    </x:row>
    <x:row r="323">
      <x:c r="A323" t="str">
        <x:f>IF(B323="","",ROW()-1)</x:f>
      </x:c>
      <x:c r="B323" s="24"/>
      <x:c r="C323" t="str">
        <x:f>IF(B323="","",TEXT(B323,"mmm-yyyy"))</x:f>
      </x:c>
      <x:c r="D323" t="str">
        <x:f>IF(B323="","",TEXT(B323,"ddd"))</x:f>
      </x:c>
      <x:c r="E323" s="32"/>
      <x:c r="F323" s="32"/>
      <x:c r="G323"/>
      <x:c r="H323" s="22" t="n">
        <x:f>IF(OR(B323="",J323&lt;&gt;"Completed"),0,IF(AND(ISNUMBER(E323),ISNUMBER(F323)),ROUND(((F323-E323)+(F323&lt;E323))*24-(N(G323)/60),2),0))</x:f>
        <x:v>0</x:v>
      </x:c>
      <x:c r="I323" s="34" t="str">
        <x:f>IF(H323=0,"",H323/24)</x:f>
      </x:c>
      <x:c r="J323"/>
      <x:c r="K323" s="22" t="str">
        <x:f>IF(B323="","",START_HERE!$B$7)</x:f>
      </x:c>
      <x:c r="L323" s="22" t="str">
        <x:f>IF(B323="","",ROUND(K323-H323,2))</x:f>
      </x:c>
      <x:c r="M323"/>
      <x:c r="N323" t="str">
        <x:f>IF(B323="","",IF(J323&lt;&gt;"Completed","Not counted",IF(H323&lt;=0,"CHECK TIME","OK")))</x:f>
      </x:c>
    </x:row>
    <x:row r="324">
      <x:c r="A324" t="str">
        <x:f>IF(B324="","",ROW()-1)</x:f>
      </x:c>
      <x:c r="B324" s="24"/>
      <x:c r="C324" t="str">
        <x:f>IF(B324="","",TEXT(B324,"mmm-yyyy"))</x:f>
      </x:c>
      <x:c r="D324" t="str">
        <x:f>IF(B324="","",TEXT(B324,"ddd"))</x:f>
      </x:c>
      <x:c r="E324" s="32"/>
      <x:c r="F324" s="32"/>
      <x:c r="G324"/>
      <x:c r="H324" s="22" t="n">
        <x:f>IF(OR(B324="",J324&lt;&gt;"Completed"),0,IF(AND(ISNUMBER(E324),ISNUMBER(F324)),ROUND(((F324-E324)+(F324&lt;E324))*24-(N(G324)/60),2),0))</x:f>
        <x:v>0</x:v>
      </x:c>
      <x:c r="I324" s="34" t="str">
        <x:f>IF(H324=0,"",H324/24)</x:f>
      </x:c>
      <x:c r="J324"/>
      <x:c r="K324" s="22" t="str">
        <x:f>IF(B324="","",START_HERE!$B$7)</x:f>
      </x:c>
      <x:c r="L324" s="22" t="str">
        <x:f>IF(B324="","",ROUND(K324-H324,2))</x:f>
      </x:c>
      <x:c r="M324"/>
      <x:c r="N324" t="str">
        <x:f>IF(B324="","",IF(J324&lt;&gt;"Completed","Not counted",IF(H324&lt;=0,"CHECK TIME","OK")))</x:f>
      </x:c>
    </x:row>
    <x:row r="325">
      <x:c r="A325" t="str">
        <x:f>IF(B325="","",ROW()-1)</x:f>
      </x:c>
      <x:c r="B325" s="24"/>
      <x:c r="C325" t="str">
        <x:f>IF(B325="","",TEXT(B325,"mmm-yyyy"))</x:f>
      </x:c>
      <x:c r="D325" t="str">
        <x:f>IF(B325="","",TEXT(B325,"ddd"))</x:f>
      </x:c>
      <x:c r="E325" s="32"/>
      <x:c r="F325" s="32"/>
      <x:c r="G325"/>
      <x:c r="H325" s="22" t="n">
        <x:f>IF(OR(B325="",J325&lt;&gt;"Completed"),0,IF(AND(ISNUMBER(E325),ISNUMBER(F325)),ROUND(((F325-E325)+(F325&lt;E325))*24-(N(G325)/60),2),0))</x:f>
        <x:v>0</x:v>
      </x:c>
      <x:c r="I325" s="34" t="str">
        <x:f>IF(H325=0,"",H325/24)</x:f>
      </x:c>
      <x:c r="J325"/>
      <x:c r="K325" s="22" t="str">
        <x:f>IF(B325="","",START_HERE!$B$7)</x:f>
      </x:c>
      <x:c r="L325" s="22" t="str">
        <x:f>IF(B325="","",ROUND(K325-H325,2))</x:f>
      </x:c>
      <x:c r="M325"/>
      <x:c r="N325" t="str">
        <x:f>IF(B325="","",IF(J325&lt;&gt;"Completed","Not counted",IF(H325&lt;=0,"CHECK TIME","OK")))</x:f>
      </x:c>
    </x:row>
    <x:row r="326">
      <x:c r="A326" t="str">
        <x:f>IF(B326="","",ROW()-1)</x:f>
      </x:c>
      <x:c r="B326" s="24"/>
      <x:c r="C326" t="str">
        <x:f>IF(B326="","",TEXT(B326,"mmm-yyyy"))</x:f>
      </x:c>
      <x:c r="D326" t="str">
        <x:f>IF(B326="","",TEXT(B326,"ddd"))</x:f>
      </x:c>
      <x:c r="E326" s="32"/>
      <x:c r="F326" s="32"/>
      <x:c r="G326"/>
      <x:c r="H326" s="22" t="n">
        <x:f>IF(OR(B326="",J326&lt;&gt;"Completed"),0,IF(AND(ISNUMBER(E326),ISNUMBER(F326)),ROUND(((F326-E326)+(F326&lt;E326))*24-(N(G326)/60),2),0))</x:f>
        <x:v>0</x:v>
      </x:c>
      <x:c r="I326" s="34" t="str">
        <x:f>IF(H326=0,"",H326/24)</x:f>
      </x:c>
      <x:c r="J326"/>
      <x:c r="K326" s="22" t="str">
        <x:f>IF(B326="","",START_HERE!$B$7)</x:f>
      </x:c>
      <x:c r="L326" s="22" t="str">
        <x:f>IF(B326="","",ROUND(K326-H326,2))</x:f>
      </x:c>
      <x:c r="M326"/>
      <x:c r="N326" t="str">
        <x:f>IF(B326="","",IF(J326&lt;&gt;"Completed","Not counted",IF(H326&lt;=0,"CHECK TIME","OK")))</x:f>
      </x:c>
    </x:row>
    <x:row r="327">
      <x:c r="A327" t="str">
        <x:f>IF(B327="","",ROW()-1)</x:f>
      </x:c>
      <x:c r="B327" s="24"/>
      <x:c r="C327" t="str">
        <x:f>IF(B327="","",TEXT(B327,"mmm-yyyy"))</x:f>
      </x:c>
      <x:c r="D327" t="str">
        <x:f>IF(B327="","",TEXT(B327,"ddd"))</x:f>
      </x:c>
      <x:c r="E327" s="32"/>
      <x:c r="F327" s="32"/>
      <x:c r="G327"/>
      <x:c r="H327" s="22" t="n">
        <x:f>IF(OR(B327="",J327&lt;&gt;"Completed"),0,IF(AND(ISNUMBER(E327),ISNUMBER(F327)),ROUND(((F327-E327)+(F327&lt;E327))*24-(N(G327)/60),2),0))</x:f>
        <x:v>0</x:v>
      </x:c>
      <x:c r="I327" s="34" t="str">
        <x:f>IF(H327=0,"",H327/24)</x:f>
      </x:c>
      <x:c r="J327"/>
      <x:c r="K327" s="22" t="str">
        <x:f>IF(B327="","",START_HERE!$B$7)</x:f>
      </x:c>
      <x:c r="L327" s="22" t="str">
        <x:f>IF(B327="","",ROUND(K327-H327,2))</x:f>
      </x:c>
      <x:c r="M327"/>
      <x:c r="N327" t="str">
        <x:f>IF(B327="","",IF(J327&lt;&gt;"Completed","Not counted",IF(H327&lt;=0,"CHECK TIME","OK")))</x:f>
      </x:c>
    </x:row>
    <x:row r="328">
      <x:c r="A328" t="str">
        <x:f>IF(B328="","",ROW()-1)</x:f>
      </x:c>
      <x:c r="B328" s="24"/>
      <x:c r="C328" t="str">
        <x:f>IF(B328="","",TEXT(B328,"mmm-yyyy"))</x:f>
      </x:c>
      <x:c r="D328" t="str">
        <x:f>IF(B328="","",TEXT(B328,"ddd"))</x:f>
      </x:c>
      <x:c r="E328" s="32"/>
      <x:c r="F328" s="32"/>
      <x:c r="G328"/>
      <x:c r="H328" s="22" t="n">
        <x:f>IF(OR(B328="",J328&lt;&gt;"Completed"),0,IF(AND(ISNUMBER(E328),ISNUMBER(F328)),ROUND(((F328-E328)+(F328&lt;E328))*24-(N(G328)/60),2),0))</x:f>
        <x:v>0</x:v>
      </x:c>
      <x:c r="I328" s="34" t="str">
        <x:f>IF(H328=0,"",H328/24)</x:f>
      </x:c>
      <x:c r="J328"/>
      <x:c r="K328" s="22" t="str">
        <x:f>IF(B328="","",START_HERE!$B$7)</x:f>
      </x:c>
      <x:c r="L328" s="22" t="str">
        <x:f>IF(B328="","",ROUND(K328-H328,2))</x:f>
      </x:c>
      <x:c r="M328"/>
      <x:c r="N328" t="str">
        <x:f>IF(B328="","",IF(J328&lt;&gt;"Completed","Not counted",IF(H328&lt;=0,"CHECK TIME","OK")))</x:f>
      </x:c>
    </x:row>
    <x:row r="329">
      <x:c r="A329" t="str">
        <x:f>IF(B329="","",ROW()-1)</x:f>
      </x:c>
      <x:c r="B329" s="24"/>
      <x:c r="C329" t="str">
        <x:f>IF(B329="","",TEXT(B329,"mmm-yyyy"))</x:f>
      </x:c>
      <x:c r="D329" t="str">
        <x:f>IF(B329="","",TEXT(B329,"ddd"))</x:f>
      </x:c>
      <x:c r="E329" s="32"/>
      <x:c r="F329" s="32"/>
      <x:c r="G329"/>
      <x:c r="H329" s="22" t="n">
        <x:f>IF(OR(B329="",J329&lt;&gt;"Completed"),0,IF(AND(ISNUMBER(E329),ISNUMBER(F329)),ROUND(((F329-E329)+(F329&lt;E329))*24-(N(G329)/60),2),0))</x:f>
        <x:v>0</x:v>
      </x:c>
      <x:c r="I329" s="34" t="str">
        <x:f>IF(H329=0,"",H329/24)</x:f>
      </x:c>
      <x:c r="J329"/>
      <x:c r="K329" s="22" t="str">
        <x:f>IF(B329="","",START_HERE!$B$7)</x:f>
      </x:c>
      <x:c r="L329" s="22" t="str">
        <x:f>IF(B329="","",ROUND(K329-H329,2))</x:f>
      </x:c>
      <x:c r="M329"/>
      <x:c r="N329" t="str">
        <x:f>IF(B329="","",IF(J329&lt;&gt;"Completed","Not counted",IF(H329&lt;=0,"CHECK TIME","OK")))</x:f>
      </x:c>
    </x:row>
    <x:row r="330">
      <x:c r="A330" t="str">
        <x:f>IF(B330="","",ROW()-1)</x:f>
      </x:c>
      <x:c r="B330" s="24"/>
      <x:c r="C330" t="str">
        <x:f>IF(B330="","",TEXT(B330,"mmm-yyyy"))</x:f>
      </x:c>
      <x:c r="D330" t="str">
        <x:f>IF(B330="","",TEXT(B330,"ddd"))</x:f>
      </x:c>
      <x:c r="E330" s="32"/>
      <x:c r="F330" s="32"/>
      <x:c r="G330"/>
      <x:c r="H330" s="22" t="n">
        <x:f>IF(OR(B330="",J330&lt;&gt;"Completed"),0,IF(AND(ISNUMBER(E330),ISNUMBER(F330)),ROUND(((F330-E330)+(F330&lt;E330))*24-(N(G330)/60),2),0))</x:f>
        <x:v>0</x:v>
      </x:c>
      <x:c r="I330" s="34" t="str">
        <x:f>IF(H330=0,"",H330/24)</x:f>
      </x:c>
      <x:c r="J330"/>
      <x:c r="K330" s="22" t="str">
        <x:f>IF(B330="","",START_HERE!$B$7)</x:f>
      </x:c>
      <x:c r="L330" s="22" t="str">
        <x:f>IF(B330="","",ROUND(K330-H330,2))</x:f>
      </x:c>
      <x:c r="M330"/>
      <x:c r="N330" t="str">
        <x:f>IF(B330="","",IF(J330&lt;&gt;"Completed","Not counted",IF(H330&lt;=0,"CHECK TIME","OK")))</x:f>
      </x:c>
    </x:row>
    <x:row r="331">
      <x:c r="A331" t="str">
        <x:f>IF(B331="","",ROW()-1)</x:f>
      </x:c>
      <x:c r="B331" s="24"/>
      <x:c r="C331" t="str">
        <x:f>IF(B331="","",TEXT(B331,"mmm-yyyy"))</x:f>
      </x:c>
      <x:c r="D331" t="str">
        <x:f>IF(B331="","",TEXT(B331,"ddd"))</x:f>
      </x:c>
      <x:c r="E331" s="32"/>
      <x:c r="F331" s="32"/>
      <x:c r="G331"/>
      <x:c r="H331" s="22" t="n">
        <x:f>IF(OR(B331="",J331&lt;&gt;"Completed"),0,IF(AND(ISNUMBER(E331),ISNUMBER(F331)),ROUND(((F331-E331)+(F331&lt;E331))*24-(N(G331)/60),2),0))</x:f>
        <x:v>0</x:v>
      </x:c>
      <x:c r="I331" s="34" t="str">
        <x:f>IF(H331=0,"",H331/24)</x:f>
      </x:c>
      <x:c r="J331"/>
      <x:c r="K331" s="22" t="str">
        <x:f>IF(B331="","",START_HERE!$B$7)</x:f>
      </x:c>
      <x:c r="L331" s="22" t="str">
        <x:f>IF(B331="","",ROUND(K331-H331,2))</x:f>
      </x:c>
      <x:c r="M331"/>
      <x:c r="N331" t="str">
        <x:f>IF(B331="","",IF(J331&lt;&gt;"Completed","Not counted",IF(H331&lt;=0,"CHECK TIME","OK")))</x:f>
      </x:c>
    </x:row>
    <x:row r="332">
      <x:c r="A332" t="str">
        <x:f>IF(B332="","",ROW()-1)</x:f>
      </x:c>
      <x:c r="B332" s="24"/>
      <x:c r="C332" t="str">
        <x:f>IF(B332="","",TEXT(B332,"mmm-yyyy"))</x:f>
      </x:c>
      <x:c r="D332" t="str">
        <x:f>IF(B332="","",TEXT(B332,"ddd"))</x:f>
      </x:c>
      <x:c r="E332" s="32"/>
      <x:c r="F332" s="32"/>
      <x:c r="G332"/>
      <x:c r="H332" s="22" t="n">
        <x:f>IF(OR(B332="",J332&lt;&gt;"Completed"),0,IF(AND(ISNUMBER(E332),ISNUMBER(F332)),ROUND(((F332-E332)+(F332&lt;E332))*24-(N(G332)/60),2),0))</x:f>
        <x:v>0</x:v>
      </x:c>
      <x:c r="I332" s="34" t="str">
        <x:f>IF(H332=0,"",H332/24)</x:f>
      </x:c>
      <x:c r="J332"/>
      <x:c r="K332" s="22" t="str">
        <x:f>IF(B332="","",START_HERE!$B$7)</x:f>
      </x:c>
      <x:c r="L332" s="22" t="str">
        <x:f>IF(B332="","",ROUND(K332-H332,2))</x:f>
      </x:c>
      <x:c r="M332"/>
      <x:c r="N332" t="str">
        <x:f>IF(B332="","",IF(J332&lt;&gt;"Completed","Not counted",IF(H332&lt;=0,"CHECK TIME","OK")))</x:f>
      </x:c>
    </x:row>
    <x:row r="333">
      <x:c r="A333" t="str">
        <x:f>IF(B333="","",ROW()-1)</x:f>
      </x:c>
      <x:c r="B333" s="24"/>
      <x:c r="C333" t="str">
        <x:f>IF(B333="","",TEXT(B333,"mmm-yyyy"))</x:f>
      </x:c>
      <x:c r="D333" t="str">
        <x:f>IF(B333="","",TEXT(B333,"ddd"))</x:f>
      </x:c>
      <x:c r="E333" s="32"/>
      <x:c r="F333" s="32"/>
      <x:c r="G333"/>
      <x:c r="H333" s="22" t="n">
        <x:f>IF(OR(B333="",J333&lt;&gt;"Completed"),0,IF(AND(ISNUMBER(E333),ISNUMBER(F333)),ROUND(((F333-E333)+(F333&lt;E333))*24-(N(G333)/60),2),0))</x:f>
        <x:v>0</x:v>
      </x:c>
      <x:c r="I333" s="34" t="str">
        <x:f>IF(H333=0,"",H333/24)</x:f>
      </x:c>
      <x:c r="J333"/>
      <x:c r="K333" s="22" t="str">
        <x:f>IF(B333="","",START_HERE!$B$7)</x:f>
      </x:c>
      <x:c r="L333" s="22" t="str">
        <x:f>IF(B333="","",ROUND(K333-H333,2))</x:f>
      </x:c>
      <x:c r="M333"/>
      <x:c r="N333" t="str">
        <x:f>IF(B333="","",IF(J333&lt;&gt;"Completed","Not counted",IF(H333&lt;=0,"CHECK TIME","OK")))</x:f>
      </x:c>
    </x:row>
    <x:row r="334">
      <x:c r="A334" t="str">
        <x:f>IF(B334="","",ROW()-1)</x:f>
      </x:c>
      <x:c r="B334" s="24"/>
      <x:c r="C334" t="str">
        <x:f>IF(B334="","",TEXT(B334,"mmm-yyyy"))</x:f>
      </x:c>
      <x:c r="D334" t="str">
        <x:f>IF(B334="","",TEXT(B334,"ddd"))</x:f>
      </x:c>
      <x:c r="E334" s="32"/>
      <x:c r="F334" s="32"/>
      <x:c r="G334"/>
      <x:c r="H334" s="22" t="n">
        <x:f>IF(OR(B334="",J334&lt;&gt;"Completed"),0,IF(AND(ISNUMBER(E334),ISNUMBER(F334)),ROUND(((F334-E334)+(F334&lt;E334))*24-(N(G334)/60),2),0))</x:f>
        <x:v>0</x:v>
      </x:c>
      <x:c r="I334" s="34" t="str">
        <x:f>IF(H334=0,"",H334/24)</x:f>
      </x:c>
      <x:c r="J334"/>
      <x:c r="K334" s="22" t="str">
        <x:f>IF(B334="","",START_HERE!$B$7)</x:f>
      </x:c>
      <x:c r="L334" s="22" t="str">
        <x:f>IF(B334="","",ROUND(K334-H334,2))</x:f>
      </x:c>
      <x:c r="M334"/>
      <x:c r="N334" t="str">
        <x:f>IF(B334="","",IF(J334&lt;&gt;"Completed","Not counted",IF(H334&lt;=0,"CHECK TIME","OK")))</x:f>
      </x:c>
    </x:row>
    <x:row r="335">
      <x:c r="A335" t="str">
        <x:f>IF(B335="","",ROW()-1)</x:f>
      </x:c>
      <x:c r="B335" s="24"/>
      <x:c r="C335" t="str">
        <x:f>IF(B335="","",TEXT(B335,"mmm-yyyy"))</x:f>
      </x:c>
      <x:c r="D335" t="str">
        <x:f>IF(B335="","",TEXT(B335,"ddd"))</x:f>
      </x:c>
      <x:c r="E335" s="32"/>
      <x:c r="F335" s="32"/>
      <x:c r="G335"/>
      <x:c r="H335" s="22" t="n">
        <x:f>IF(OR(B335="",J335&lt;&gt;"Completed"),0,IF(AND(ISNUMBER(E335),ISNUMBER(F335)),ROUND(((F335-E335)+(F335&lt;E335))*24-(N(G335)/60),2),0))</x:f>
        <x:v>0</x:v>
      </x:c>
      <x:c r="I335" s="34" t="str">
        <x:f>IF(H335=0,"",H335/24)</x:f>
      </x:c>
      <x:c r="J335"/>
      <x:c r="K335" s="22" t="str">
        <x:f>IF(B335="","",START_HERE!$B$7)</x:f>
      </x:c>
      <x:c r="L335" s="22" t="str">
        <x:f>IF(B335="","",ROUND(K335-H335,2))</x:f>
      </x:c>
      <x:c r="M335"/>
      <x:c r="N335" t="str">
        <x:f>IF(B335="","",IF(J335&lt;&gt;"Completed","Not counted",IF(H335&lt;=0,"CHECK TIME","OK")))</x:f>
      </x:c>
    </x:row>
    <x:row r="336">
      <x:c r="A336" t="str">
        <x:f>IF(B336="","",ROW()-1)</x:f>
      </x:c>
      <x:c r="B336" s="24"/>
      <x:c r="C336" t="str">
        <x:f>IF(B336="","",TEXT(B336,"mmm-yyyy"))</x:f>
      </x:c>
      <x:c r="D336" t="str">
        <x:f>IF(B336="","",TEXT(B336,"ddd"))</x:f>
      </x:c>
      <x:c r="E336" s="32"/>
      <x:c r="F336" s="32"/>
      <x:c r="G336"/>
      <x:c r="H336" s="22" t="n">
        <x:f>IF(OR(B336="",J336&lt;&gt;"Completed"),0,IF(AND(ISNUMBER(E336),ISNUMBER(F336)),ROUND(((F336-E336)+(F336&lt;E336))*24-(N(G336)/60),2),0))</x:f>
        <x:v>0</x:v>
      </x:c>
      <x:c r="I336" s="34" t="str">
        <x:f>IF(H336=0,"",H336/24)</x:f>
      </x:c>
      <x:c r="J336"/>
      <x:c r="K336" s="22" t="str">
        <x:f>IF(B336="","",START_HERE!$B$7)</x:f>
      </x:c>
      <x:c r="L336" s="22" t="str">
        <x:f>IF(B336="","",ROUND(K336-H336,2))</x:f>
      </x:c>
      <x:c r="M336"/>
      <x:c r="N336" t="str">
        <x:f>IF(B336="","",IF(J336&lt;&gt;"Completed","Not counted",IF(H336&lt;=0,"CHECK TIME","OK")))</x:f>
      </x:c>
    </x:row>
    <x:row r="337">
      <x:c r="A337" t="str">
        <x:f>IF(B337="","",ROW()-1)</x:f>
      </x:c>
      <x:c r="B337" s="24"/>
      <x:c r="C337" t="str">
        <x:f>IF(B337="","",TEXT(B337,"mmm-yyyy"))</x:f>
      </x:c>
      <x:c r="D337" t="str">
        <x:f>IF(B337="","",TEXT(B337,"ddd"))</x:f>
      </x:c>
      <x:c r="E337" s="32"/>
      <x:c r="F337" s="32"/>
      <x:c r="G337"/>
      <x:c r="H337" s="22" t="n">
        <x:f>IF(OR(B337="",J337&lt;&gt;"Completed"),0,IF(AND(ISNUMBER(E337),ISNUMBER(F337)),ROUND(((F337-E337)+(F337&lt;E337))*24-(N(G337)/60),2),0))</x:f>
        <x:v>0</x:v>
      </x:c>
      <x:c r="I337" s="34" t="str">
        <x:f>IF(H337=0,"",H337/24)</x:f>
      </x:c>
      <x:c r="J337"/>
      <x:c r="K337" s="22" t="str">
        <x:f>IF(B337="","",START_HERE!$B$7)</x:f>
      </x:c>
      <x:c r="L337" s="22" t="str">
        <x:f>IF(B337="","",ROUND(K337-H337,2))</x:f>
      </x:c>
      <x:c r="M337"/>
      <x:c r="N337" t="str">
        <x:f>IF(B337="","",IF(J337&lt;&gt;"Completed","Not counted",IF(H337&lt;=0,"CHECK TIME","OK")))</x:f>
      </x:c>
    </x:row>
    <x:row r="338">
      <x:c r="A338" t="str">
        <x:f>IF(B338="","",ROW()-1)</x:f>
      </x:c>
      <x:c r="B338" s="24"/>
      <x:c r="C338" t="str">
        <x:f>IF(B338="","",TEXT(B338,"mmm-yyyy"))</x:f>
      </x:c>
      <x:c r="D338" t="str">
        <x:f>IF(B338="","",TEXT(B338,"ddd"))</x:f>
      </x:c>
      <x:c r="E338" s="32"/>
      <x:c r="F338" s="32"/>
      <x:c r="G338"/>
      <x:c r="H338" s="22" t="n">
        <x:f>IF(OR(B338="",J338&lt;&gt;"Completed"),0,IF(AND(ISNUMBER(E338),ISNUMBER(F338)),ROUND(((F338-E338)+(F338&lt;E338))*24-(N(G338)/60),2),0))</x:f>
        <x:v>0</x:v>
      </x:c>
      <x:c r="I338" s="34" t="str">
        <x:f>IF(H338=0,"",H338/24)</x:f>
      </x:c>
      <x:c r="J338"/>
      <x:c r="K338" s="22" t="str">
        <x:f>IF(B338="","",START_HERE!$B$7)</x:f>
      </x:c>
      <x:c r="L338" s="22" t="str">
        <x:f>IF(B338="","",ROUND(K338-H338,2))</x:f>
      </x:c>
      <x:c r="M338"/>
      <x:c r="N338" t="str">
        <x:f>IF(B338="","",IF(J338&lt;&gt;"Completed","Not counted",IF(H338&lt;=0,"CHECK TIME","OK")))</x:f>
      </x:c>
    </x:row>
    <x:row r="339">
      <x:c r="A339" t="str">
        <x:f>IF(B339="","",ROW()-1)</x:f>
      </x:c>
      <x:c r="B339" s="24"/>
      <x:c r="C339" t="str">
        <x:f>IF(B339="","",TEXT(B339,"mmm-yyyy"))</x:f>
      </x:c>
      <x:c r="D339" t="str">
        <x:f>IF(B339="","",TEXT(B339,"ddd"))</x:f>
      </x:c>
      <x:c r="E339" s="32"/>
      <x:c r="F339" s="32"/>
      <x:c r="G339"/>
      <x:c r="H339" s="22" t="n">
        <x:f>IF(OR(B339="",J339&lt;&gt;"Completed"),0,IF(AND(ISNUMBER(E339),ISNUMBER(F339)),ROUND(((F339-E339)+(F339&lt;E339))*24-(N(G339)/60),2),0))</x:f>
        <x:v>0</x:v>
      </x:c>
      <x:c r="I339" s="34" t="str">
        <x:f>IF(H339=0,"",H339/24)</x:f>
      </x:c>
      <x:c r="J339"/>
      <x:c r="K339" s="22" t="str">
        <x:f>IF(B339="","",START_HERE!$B$7)</x:f>
      </x:c>
      <x:c r="L339" s="22" t="str">
        <x:f>IF(B339="","",ROUND(K339-H339,2))</x:f>
      </x:c>
      <x:c r="M339"/>
      <x:c r="N339" t="str">
        <x:f>IF(B339="","",IF(J339&lt;&gt;"Completed","Not counted",IF(H339&lt;=0,"CHECK TIME","OK")))</x:f>
      </x:c>
    </x:row>
    <x:row r="340">
      <x:c r="A340" t="str">
        <x:f>IF(B340="","",ROW()-1)</x:f>
      </x:c>
      <x:c r="B340" s="24"/>
      <x:c r="C340" t="str">
        <x:f>IF(B340="","",TEXT(B340,"mmm-yyyy"))</x:f>
      </x:c>
      <x:c r="D340" t="str">
        <x:f>IF(B340="","",TEXT(B340,"ddd"))</x:f>
      </x:c>
      <x:c r="E340" s="32"/>
      <x:c r="F340" s="32"/>
      <x:c r="G340"/>
      <x:c r="H340" s="22" t="n">
        <x:f>IF(OR(B340="",J340&lt;&gt;"Completed"),0,IF(AND(ISNUMBER(E340),ISNUMBER(F340)),ROUND(((F340-E340)+(F340&lt;E340))*24-(N(G340)/60),2),0))</x:f>
        <x:v>0</x:v>
      </x:c>
      <x:c r="I340" s="34" t="str">
        <x:f>IF(H340=0,"",H340/24)</x:f>
      </x:c>
      <x:c r="J340"/>
      <x:c r="K340" s="22" t="str">
        <x:f>IF(B340="","",START_HERE!$B$7)</x:f>
      </x:c>
      <x:c r="L340" s="22" t="str">
        <x:f>IF(B340="","",ROUND(K340-H340,2))</x:f>
      </x:c>
      <x:c r="M340"/>
      <x:c r="N340" t="str">
        <x:f>IF(B340="","",IF(J340&lt;&gt;"Completed","Not counted",IF(H340&lt;=0,"CHECK TIME","OK")))</x:f>
      </x:c>
    </x:row>
    <x:row r="341">
      <x:c r="A341" t="str">
        <x:f>IF(B341="","",ROW()-1)</x:f>
      </x:c>
      <x:c r="B341" s="24"/>
      <x:c r="C341" t="str">
        <x:f>IF(B341="","",TEXT(B341,"mmm-yyyy"))</x:f>
      </x:c>
      <x:c r="D341" t="str">
        <x:f>IF(B341="","",TEXT(B341,"ddd"))</x:f>
      </x:c>
      <x:c r="E341" s="32"/>
      <x:c r="F341" s="32"/>
      <x:c r="G341"/>
      <x:c r="H341" s="22" t="n">
        <x:f>IF(OR(B341="",J341&lt;&gt;"Completed"),0,IF(AND(ISNUMBER(E341),ISNUMBER(F341)),ROUND(((F341-E341)+(F341&lt;E341))*24-(N(G341)/60),2),0))</x:f>
        <x:v>0</x:v>
      </x:c>
      <x:c r="I341" s="34" t="str">
        <x:f>IF(H341=0,"",H341/24)</x:f>
      </x:c>
      <x:c r="J341"/>
      <x:c r="K341" s="22" t="str">
        <x:f>IF(B341="","",START_HERE!$B$7)</x:f>
      </x:c>
      <x:c r="L341" s="22" t="str">
        <x:f>IF(B341="","",ROUND(K341-H341,2))</x:f>
      </x:c>
      <x:c r="M341"/>
      <x:c r="N341" t="str">
        <x:f>IF(B341="","",IF(J341&lt;&gt;"Completed","Not counted",IF(H341&lt;=0,"CHECK TIME","OK")))</x:f>
      </x:c>
    </x:row>
    <x:row r="342">
      <x:c r="A342" t="str">
        <x:f>IF(B342="","",ROW()-1)</x:f>
      </x:c>
      <x:c r="B342" s="24"/>
      <x:c r="C342" t="str">
        <x:f>IF(B342="","",TEXT(B342,"mmm-yyyy"))</x:f>
      </x:c>
      <x:c r="D342" t="str">
        <x:f>IF(B342="","",TEXT(B342,"ddd"))</x:f>
      </x:c>
      <x:c r="E342" s="32"/>
      <x:c r="F342" s="32"/>
      <x:c r="G342"/>
      <x:c r="H342" s="22" t="n">
        <x:f>IF(OR(B342="",J342&lt;&gt;"Completed"),0,IF(AND(ISNUMBER(E342),ISNUMBER(F342)),ROUND(((F342-E342)+(F342&lt;E342))*24-(N(G342)/60),2),0))</x:f>
        <x:v>0</x:v>
      </x:c>
      <x:c r="I342" s="34" t="str">
        <x:f>IF(H342=0,"",H342/24)</x:f>
      </x:c>
      <x:c r="J342"/>
      <x:c r="K342" s="22" t="str">
        <x:f>IF(B342="","",START_HERE!$B$7)</x:f>
      </x:c>
      <x:c r="L342" s="22" t="str">
        <x:f>IF(B342="","",ROUND(K342-H342,2))</x:f>
      </x:c>
      <x:c r="M342"/>
      <x:c r="N342" t="str">
        <x:f>IF(B342="","",IF(J342&lt;&gt;"Completed","Not counted",IF(H342&lt;=0,"CHECK TIME","OK")))</x:f>
      </x:c>
    </x:row>
    <x:row r="343">
      <x:c r="A343" t="str">
        <x:f>IF(B343="","",ROW()-1)</x:f>
      </x:c>
      <x:c r="B343" s="24"/>
      <x:c r="C343" t="str">
        <x:f>IF(B343="","",TEXT(B343,"mmm-yyyy"))</x:f>
      </x:c>
      <x:c r="D343" t="str">
        <x:f>IF(B343="","",TEXT(B343,"ddd"))</x:f>
      </x:c>
      <x:c r="E343" s="32"/>
      <x:c r="F343" s="32"/>
      <x:c r="G343"/>
      <x:c r="H343" s="22" t="n">
        <x:f>IF(OR(B343="",J343&lt;&gt;"Completed"),0,IF(AND(ISNUMBER(E343),ISNUMBER(F343)),ROUND(((F343-E343)+(F343&lt;E343))*24-(N(G343)/60),2),0))</x:f>
        <x:v>0</x:v>
      </x:c>
      <x:c r="I343" s="34" t="str">
        <x:f>IF(H343=0,"",H343/24)</x:f>
      </x:c>
      <x:c r="J343"/>
      <x:c r="K343" s="22" t="str">
        <x:f>IF(B343="","",START_HERE!$B$7)</x:f>
      </x:c>
      <x:c r="L343" s="22" t="str">
        <x:f>IF(B343="","",ROUND(K343-H343,2))</x:f>
      </x:c>
      <x:c r="M343"/>
      <x:c r="N343" t="str">
        <x:f>IF(B343="","",IF(J343&lt;&gt;"Completed","Not counted",IF(H343&lt;=0,"CHECK TIME","OK")))</x:f>
      </x:c>
    </x:row>
    <x:row r="344">
      <x:c r="A344" t="str">
        <x:f>IF(B344="","",ROW()-1)</x:f>
      </x:c>
      <x:c r="B344" s="24"/>
      <x:c r="C344" t="str">
        <x:f>IF(B344="","",TEXT(B344,"mmm-yyyy"))</x:f>
      </x:c>
      <x:c r="D344" t="str">
        <x:f>IF(B344="","",TEXT(B344,"ddd"))</x:f>
      </x:c>
      <x:c r="E344" s="32"/>
      <x:c r="F344" s="32"/>
      <x:c r="G344"/>
      <x:c r="H344" s="22" t="n">
        <x:f>IF(OR(B344="",J344&lt;&gt;"Completed"),0,IF(AND(ISNUMBER(E344),ISNUMBER(F344)),ROUND(((F344-E344)+(F344&lt;E344))*24-(N(G344)/60),2),0))</x:f>
        <x:v>0</x:v>
      </x:c>
      <x:c r="I344" s="34" t="str">
        <x:f>IF(H344=0,"",H344/24)</x:f>
      </x:c>
      <x:c r="J344"/>
      <x:c r="K344" s="22" t="str">
        <x:f>IF(B344="","",START_HERE!$B$7)</x:f>
      </x:c>
      <x:c r="L344" s="22" t="str">
        <x:f>IF(B344="","",ROUND(K344-H344,2))</x:f>
      </x:c>
      <x:c r="M344"/>
      <x:c r="N344" t="str">
        <x:f>IF(B344="","",IF(J344&lt;&gt;"Completed","Not counted",IF(H344&lt;=0,"CHECK TIME","OK")))</x:f>
      </x:c>
    </x:row>
    <x:row r="345">
      <x:c r="A345" t="str">
        <x:f>IF(B345="","",ROW()-1)</x:f>
      </x:c>
      <x:c r="B345" s="24"/>
      <x:c r="C345" t="str">
        <x:f>IF(B345="","",TEXT(B345,"mmm-yyyy"))</x:f>
      </x:c>
      <x:c r="D345" t="str">
        <x:f>IF(B345="","",TEXT(B345,"ddd"))</x:f>
      </x:c>
      <x:c r="E345" s="32"/>
      <x:c r="F345" s="32"/>
      <x:c r="G345"/>
      <x:c r="H345" s="22" t="n">
        <x:f>IF(OR(B345="",J345&lt;&gt;"Completed"),0,IF(AND(ISNUMBER(E345),ISNUMBER(F345)),ROUND(((F345-E345)+(F345&lt;E345))*24-(N(G345)/60),2),0))</x:f>
        <x:v>0</x:v>
      </x:c>
      <x:c r="I345" s="34" t="str">
        <x:f>IF(H345=0,"",H345/24)</x:f>
      </x:c>
      <x:c r="J345"/>
      <x:c r="K345" s="22" t="str">
        <x:f>IF(B345="","",START_HERE!$B$7)</x:f>
      </x:c>
      <x:c r="L345" s="22" t="str">
        <x:f>IF(B345="","",ROUND(K345-H345,2))</x:f>
      </x:c>
      <x:c r="M345"/>
      <x:c r="N345" t="str">
        <x:f>IF(B345="","",IF(J345&lt;&gt;"Completed","Not counted",IF(H345&lt;=0,"CHECK TIME","OK")))</x:f>
      </x:c>
    </x:row>
    <x:row r="346">
      <x:c r="A346" t="str">
        <x:f>IF(B346="","",ROW()-1)</x:f>
      </x:c>
      <x:c r="B346" s="24"/>
      <x:c r="C346" t="str">
        <x:f>IF(B346="","",TEXT(B346,"mmm-yyyy"))</x:f>
      </x:c>
      <x:c r="D346" t="str">
        <x:f>IF(B346="","",TEXT(B346,"ddd"))</x:f>
      </x:c>
      <x:c r="E346" s="32"/>
      <x:c r="F346" s="32"/>
      <x:c r="G346"/>
      <x:c r="H346" s="22" t="n">
        <x:f>IF(OR(B346="",J346&lt;&gt;"Completed"),0,IF(AND(ISNUMBER(E346),ISNUMBER(F346)),ROUND(((F346-E346)+(F346&lt;E346))*24-(N(G346)/60),2),0))</x:f>
        <x:v>0</x:v>
      </x:c>
      <x:c r="I346" s="34" t="str">
        <x:f>IF(H346=0,"",H346/24)</x:f>
      </x:c>
      <x:c r="J346"/>
      <x:c r="K346" s="22" t="str">
        <x:f>IF(B346="","",START_HERE!$B$7)</x:f>
      </x:c>
      <x:c r="L346" s="22" t="str">
        <x:f>IF(B346="","",ROUND(K346-H346,2))</x:f>
      </x:c>
      <x:c r="M346"/>
      <x:c r="N346" t="str">
        <x:f>IF(B346="","",IF(J346&lt;&gt;"Completed","Not counted",IF(H346&lt;=0,"CHECK TIME","OK")))</x:f>
      </x:c>
    </x:row>
    <x:row r="347">
      <x:c r="A347" t="str">
        <x:f>IF(B347="","",ROW()-1)</x:f>
      </x:c>
      <x:c r="B347" s="24"/>
      <x:c r="C347" t="str">
        <x:f>IF(B347="","",TEXT(B347,"mmm-yyyy"))</x:f>
      </x:c>
      <x:c r="D347" t="str">
        <x:f>IF(B347="","",TEXT(B347,"ddd"))</x:f>
      </x:c>
      <x:c r="E347" s="32"/>
      <x:c r="F347" s="32"/>
      <x:c r="G347"/>
      <x:c r="H347" s="22" t="n">
        <x:f>IF(OR(B347="",J347&lt;&gt;"Completed"),0,IF(AND(ISNUMBER(E347),ISNUMBER(F347)),ROUND(((F347-E347)+(F347&lt;E347))*24-(N(G347)/60),2),0))</x:f>
        <x:v>0</x:v>
      </x:c>
      <x:c r="I347" s="34" t="str">
        <x:f>IF(H347=0,"",H347/24)</x:f>
      </x:c>
      <x:c r="J347"/>
      <x:c r="K347" s="22" t="str">
        <x:f>IF(B347="","",START_HERE!$B$7)</x:f>
      </x:c>
      <x:c r="L347" s="22" t="str">
        <x:f>IF(B347="","",ROUND(K347-H347,2))</x:f>
      </x:c>
      <x:c r="M347"/>
      <x:c r="N347" t="str">
        <x:f>IF(B347="","",IF(J347&lt;&gt;"Completed","Not counted",IF(H347&lt;=0,"CHECK TIME","OK")))</x:f>
      </x:c>
    </x:row>
    <x:row r="348">
      <x:c r="A348" t="str">
        <x:f>IF(B348="","",ROW()-1)</x:f>
      </x:c>
      <x:c r="B348" s="24"/>
      <x:c r="C348" t="str">
        <x:f>IF(B348="","",TEXT(B348,"mmm-yyyy"))</x:f>
      </x:c>
      <x:c r="D348" t="str">
        <x:f>IF(B348="","",TEXT(B348,"ddd"))</x:f>
      </x:c>
      <x:c r="E348" s="32"/>
      <x:c r="F348" s="32"/>
      <x:c r="G348"/>
      <x:c r="H348" s="22" t="n">
        <x:f>IF(OR(B348="",J348&lt;&gt;"Completed"),0,IF(AND(ISNUMBER(E348),ISNUMBER(F348)),ROUND(((F348-E348)+(F348&lt;E348))*24-(N(G348)/60),2),0))</x:f>
        <x:v>0</x:v>
      </x:c>
      <x:c r="I348" s="34" t="str">
        <x:f>IF(H348=0,"",H348/24)</x:f>
      </x:c>
      <x:c r="J348"/>
      <x:c r="K348" s="22" t="str">
        <x:f>IF(B348="","",START_HERE!$B$7)</x:f>
      </x:c>
      <x:c r="L348" s="22" t="str">
        <x:f>IF(B348="","",ROUND(K348-H348,2))</x:f>
      </x:c>
      <x:c r="M348"/>
      <x:c r="N348" t="str">
        <x:f>IF(B348="","",IF(J348&lt;&gt;"Completed","Not counted",IF(H348&lt;=0,"CHECK TIME","OK")))</x:f>
      </x:c>
    </x:row>
    <x:row r="349">
      <x:c r="A349" t="str">
        <x:f>IF(B349="","",ROW()-1)</x:f>
      </x:c>
      <x:c r="B349" s="24"/>
      <x:c r="C349" t="str">
        <x:f>IF(B349="","",TEXT(B349,"mmm-yyyy"))</x:f>
      </x:c>
      <x:c r="D349" t="str">
        <x:f>IF(B349="","",TEXT(B349,"ddd"))</x:f>
      </x:c>
      <x:c r="E349" s="32"/>
      <x:c r="F349" s="32"/>
      <x:c r="G349"/>
      <x:c r="H349" s="22" t="n">
        <x:f>IF(OR(B349="",J349&lt;&gt;"Completed"),0,IF(AND(ISNUMBER(E349),ISNUMBER(F349)),ROUND(((F349-E349)+(F349&lt;E349))*24-(N(G349)/60),2),0))</x:f>
        <x:v>0</x:v>
      </x:c>
      <x:c r="I349" s="34" t="str">
        <x:f>IF(H349=0,"",H349/24)</x:f>
      </x:c>
      <x:c r="J349"/>
      <x:c r="K349" s="22" t="str">
        <x:f>IF(B349="","",START_HERE!$B$7)</x:f>
      </x:c>
      <x:c r="L349" s="22" t="str">
        <x:f>IF(B349="","",ROUND(K349-H349,2))</x:f>
      </x:c>
      <x:c r="M349"/>
      <x:c r="N349" t="str">
        <x:f>IF(B349="","",IF(J349&lt;&gt;"Completed","Not counted",IF(H349&lt;=0,"CHECK TIME","OK")))</x:f>
      </x:c>
    </x:row>
    <x:row r="350">
      <x:c r="A350" t="str">
        <x:f>IF(B350="","",ROW()-1)</x:f>
      </x:c>
      <x:c r="B350" s="24"/>
      <x:c r="C350" t="str">
        <x:f>IF(B350="","",TEXT(B350,"mmm-yyyy"))</x:f>
      </x:c>
      <x:c r="D350" t="str">
        <x:f>IF(B350="","",TEXT(B350,"ddd"))</x:f>
      </x:c>
      <x:c r="E350" s="32"/>
      <x:c r="F350" s="32"/>
      <x:c r="G350"/>
      <x:c r="H350" s="22" t="n">
        <x:f>IF(OR(B350="",J350&lt;&gt;"Completed"),0,IF(AND(ISNUMBER(E350),ISNUMBER(F350)),ROUND(((F350-E350)+(F350&lt;E350))*24-(N(G350)/60),2),0))</x:f>
        <x:v>0</x:v>
      </x:c>
      <x:c r="I350" s="34" t="str">
        <x:f>IF(H350=0,"",H350/24)</x:f>
      </x:c>
      <x:c r="J350"/>
      <x:c r="K350" s="22" t="str">
        <x:f>IF(B350="","",START_HERE!$B$7)</x:f>
      </x:c>
      <x:c r="L350" s="22" t="str">
        <x:f>IF(B350="","",ROUND(K350-H350,2))</x:f>
      </x:c>
      <x:c r="M350"/>
      <x:c r="N350" t="str">
        <x:f>IF(B350="","",IF(J350&lt;&gt;"Completed","Not counted",IF(H350&lt;=0,"CHECK TIME","OK")))</x:f>
      </x:c>
    </x:row>
    <x:row r="351">
      <x:c r="A351" t="str">
        <x:f>IF(B351="","",ROW()-1)</x:f>
      </x:c>
      <x:c r="B351" s="24"/>
      <x:c r="C351" t="str">
        <x:f>IF(B351="","",TEXT(B351,"mmm-yyyy"))</x:f>
      </x:c>
      <x:c r="D351" t="str">
        <x:f>IF(B351="","",TEXT(B351,"ddd"))</x:f>
      </x:c>
      <x:c r="E351" s="32"/>
      <x:c r="F351" s="32"/>
      <x:c r="G351"/>
      <x:c r="H351" s="22" t="n">
        <x:f>IF(OR(B351="",J351&lt;&gt;"Completed"),0,IF(AND(ISNUMBER(E351),ISNUMBER(F351)),ROUND(((F351-E351)+(F351&lt;E351))*24-(N(G351)/60),2),0))</x:f>
        <x:v>0</x:v>
      </x:c>
      <x:c r="I351" s="34" t="str">
        <x:f>IF(H351=0,"",H351/24)</x:f>
      </x:c>
      <x:c r="J351"/>
      <x:c r="K351" s="22" t="str">
        <x:f>IF(B351="","",START_HERE!$B$7)</x:f>
      </x:c>
      <x:c r="L351" s="22" t="str">
        <x:f>IF(B351="","",ROUND(K351-H351,2))</x:f>
      </x:c>
      <x:c r="M351"/>
      <x:c r="N351" t="str">
        <x:f>IF(B351="","",IF(J351&lt;&gt;"Completed","Not counted",IF(H351&lt;=0,"CHECK TIME","OK")))</x:f>
      </x:c>
    </x:row>
    <x:row r="352">
      <x:c r="A352" t="str">
        <x:f>IF(B352="","",ROW()-1)</x:f>
      </x:c>
      <x:c r="B352" s="24"/>
      <x:c r="C352" t="str">
        <x:f>IF(B352="","",TEXT(B352,"mmm-yyyy"))</x:f>
      </x:c>
      <x:c r="D352" t="str">
        <x:f>IF(B352="","",TEXT(B352,"ddd"))</x:f>
      </x:c>
      <x:c r="E352" s="32"/>
      <x:c r="F352" s="32"/>
      <x:c r="G352"/>
      <x:c r="H352" s="22" t="n">
        <x:f>IF(OR(B352="",J352&lt;&gt;"Completed"),0,IF(AND(ISNUMBER(E352),ISNUMBER(F352)),ROUND(((F352-E352)+(F352&lt;E352))*24-(N(G352)/60),2),0))</x:f>
        <x:v>0</x:v>
      </x:c>
      <x:c r="I352" s="34" t="str">
        <x:f>IF(H352=0,"",H352/24)</x:f>
      </x:c>
      <x:c r="J352"/>
      <x:c r="K352" s="22" t="str">
        <x:f>IF(B352="","",START_HERE!$B$7)</x:f>
      </x:c>
      <x:c r="L352" s="22" t="str">
        <x:f>IF(B352="","",ROUND(K352-H352,2))</x:f>
      </x:c>
      <x:c r="M352"/>
      <x:c r="N352" t="str">
        <x:f>IF(B352="","",IF(J352&lt;&gt;"Completed","Not counted",IF(H352&lt;=0,"CHECK TIME","OK")))</x:f>
      </x:c>
    </x:row>
    <x:row r="353">
      <x:c r="A353" t="str">
        <x:f>IF(B353="","",ROW()-1)</x:f>
      </x:c>
      <x:c r="B353" s="24"/>
      <x:c r="C353" t="str">
        <x:f>IF(B353="","",TEXT(B353,"mmm-yyyy"))</x:f>
      </x:c>
      <x:c r="D353" t="str">
        <x:f>IF(B353="","",TEXT(B353,"ddd"))</x:f>
      </x:c>
      <x:c r="E353" s="32"/>
      <x:c r="F353" s="32"/>
      <x:c r="G353"/>
      <x:c r="H353" s="22" t="n">
        <x:f>IF(OR(B353="",J353&lt;&gt;"Completed"),0,IF(AND(ISNUMBER(E353),ISNUMBER(F353)),ROUND(((F353-E353)+(F353&lt;E353))*24-(N(G353)/60),2),0))</x:f>
        <x:v>0</x:v>
      </x:c>
      <x:c r="I353" s="34" t="str">
        <x:f>IF(H353=0,"",H353/24)</x:f>
      </x:c>
      <x:c r="J353"/>
      <x:c r="K353" s="22" t="str">
        <x:f>IF(B353="","",START_HERE!$B$7)</x:f>
      </x:c>
      <x:c r="L353" s="22" t="str">
        <x:f>IF(B353="","",ROUND(K353-H353,2))</x:f>
      </x:c>
      <x:c r="M353"/>
      <x:c r="N353" t="str">
        <x:f>IF(B353="","",IF(J353&lt;&gt;"Completed","Not counted",IF(H353&lt;=0,"CHECK TIME","OK")))</x:f>
      </x:c>
    </x:row>
    <x:row r="354">
      <x:c r="A354" t="str">
        <x:f>IF(B354="","",ROW()-1)</x:f>
      </x:c>
      <x:c r="B354" s="24"/>
      <x:c r="C354" t="str">
        <x:f>IF(B354="","",TEXT(B354,"mmm-yyyy"))</x:f>
      </x:c>
      <x:c r="D354" t="str">
        <x:f>IF(B354="","",TEXT(B354,"ddd"))</x:f>
      </x:c>
      <x:c r="E354" s="32"/>
      <x:c r="F354" s="32"/>
      <x:c r="G354"/>
      <x:c r="H354" s="22" t="n">
        <x:f>IF(OR(B354="",J354&lt;&gt;"Completed"),0,IF(AND(ISNUMBER(E354),ISNUMBER(F354)),ROUND(((F354-E354)+(F354&lt;E354))*24-(N(G354)/60),2),0))</x:f>
        <x:v>0</x:v>
      </x:c>
      <x:c r="I354" s="34" t="str">
        <x:f>IF(H354=0,"",H354/24)</x:f>
      </x:c>
      <x:c r="J354"/>
      <x:c r="K354" s="22" t="str">
        <x:f>IF(B354="","",START_HERE!$B$7)</x:f>
      </x:c>
      <x:c r="L354" s="22" t="str">
        <x:f>IF(B354="","",ROUND(K354-H354,2))</x:f>
      </x:c>
      <x:c r="M354"/>
      <x:c r="N354" t="str">
        <x:f>IF(B354="","",IF(J354&lt;&gt;"Completed","Not counted",IF(H354&lt;=0,"CHECK TIME","OK")))</x:f>
      </x:c>
    </x:row>
    <x:row r="355">
      <x:c r="A355" t="str">
        <x:f>IF(B355="","",ROW()-1)</x:f>
      </x:c>
      <x:c r="B355" s="24"/>
      <x:c r="C355" t="str">
        <x:f>IF(B355="","",TEXT(B355,"mmm-yyyy"))</x:f>
      </x:c>
      <x:c r="D355" t="str">
        <x:f>IF(B355="","",TEXT(B355,"ddd"))</x:f>
      </x:c>
      <x:c r="E355" s="32"/>
      <x:c r="F355" s="32"/>
      <x:c r="G355"/>
      <x:c r="H355" s="22" t="n">
        <x:f>IF(OR(B355="",J355&lt;&gt;"Completed"),0,IF(AND(ISNUMBER(E355),ISNUMBER(F355)),ROUND(((F355-E355)+(F355&lt;E355))*24-(N(G355)/60),2),0))</x:f>
        <x:v>0</x:v>
      </x:c>
      <x:c r="I355" s="34" t="str">
        <x:f>IF(H355=0,"",H355/24)</x:f>
      </x:c>
      <x:c r="J355"/>
      <x:c r="K355" s="22" t="str">
        <x:f>IF(B355="","",START_HERE!$B$7)</x:f>
      </x:c>
      <x:c r="L355" s="22" t="str">
        <x:f>IF(B355="","",ROUND(K355-H355,2))</x:f>
      </x:c>
      <x:c r="M355"/>
      <x:c r="N355" t="str">
        <x:f>IF(B355="","",IF(J355&lt;&gt;"Completed","Not counted",IF(H355&lt;=0,"CHECK TIME","OK")))</x:f>
      </x:c>
    </x:row>
    <x:row r="356">
      <x:c r="A356" t="str">
        <x:f>IF(B356="","",ROW()-1)</x:f>
      </x:c>
      <x:c r="B356" s="24"/>
      <x:c r="C356" t="str">
        <x:f>IF(B356="","",TEXT(B356,"mmm-yyyy"))</x:f>
      </x:c>
      <x:c r="D356" t="str">
        <x:f>IF(B356="","",TEXT(B356,"ddd"))</x:f>
      </x:c>
      <x:c r="E356" s="32"/>
      <x:c r="F356" s="32"/>
      <x:c r="G356"/>
      <x:c r="H356" s="22" t="n">
        <x:f>IF(OR(B356="",J356&lt;&gt;"Completed"),0,IF(AND(ISNUMBER(E356),ISNUMBER(F356)),ROUND(((F356-E356)+(F356&lt;E356))*24-(N(G356)/60),2),0))</x:f>
        <x:v>0</x:v>
      </x:c>
      <x:c r="I356" s="34" t="str">
        <x:f>IF(H356=0,"",H356/24)</x:f>
      </x:c>
      <x:c r="J356"/>
      <x:c r="K356" s="22" t="str">
        <x:f>IF(B356="","",START_HERE!$B$7)</x:f>
      </x:c>
      <x:c r="L356" s="22" t="str">
        <x:f>IF(B356="","",ROUND(K356-H356,2))</x:f>
      </x:c>
      <x:c r="M356"/>
      <x:c r="N356" t="str">
        <x:f>IF(B356="","",IF(J356&lt;&gt;"Completed","Not counted",IF(H356&lt;=0,"CHECK TIME","OK")))</x:f>
      </x:c>
    </x:row>
    <x:row r="357">
      <x:c r="A357" t="str">
        <x:f>IF(B357="","",ROW()-1)</x:f>
      </x:c>
      <x:c r="B357" s="24"/>
      <x:c r="C357" t="str">
        <x:f>IF(B357="","",TEXT(B357,"mmm-yyyy"))</x:f>
      </x:c>
      <x:c r="D357" t="str">
        <x:f>IF(B357="","",TEXT(B357,"ddd"))</x:f>
      </x:c>
      <x:c r="E357" s="32"/>
      <x:c r="F357" s="32"/>
      <x:c r="G357"/>
      <x:c r="H357" s="22" t="n">
        <x:f>IF(OR(B357="",J357&lt;&gt;"Completed"),0,IF(AND(ISNUMBER(E357),ISNUMBER(F357)),ROUND(((F357-E357)+(F357&lt;E357))*24-(N(G357)/60),2),0))</x:f>
        <x:v>0</x:v>
      </x:c>
      <x:c r="I357" s="34" t="str">
        <x:f>IF(H357=0,"",H357/24)</x:f>
      </x:c>
      <x:c r="J357"/>
      <x:c r="K357" s="22" t="str">
        <x:f>IF(B357="","",START_HERE!$B$7)</x:f>
      </x:c>
      <x:c r="L357" s="22" t="str">
        <x:f>IF(B357="","",ROUND(K357-H357,2))</x:f>
      </x:c>
      <x:c r="M357"/>
      <x:c r="N357" t="str">
        <x:f>IF(B357="","",IF(J357&lt;&gt;"Completed","Not counted",IF(H357&lt;=0,"CHECK TIME","OK")))</x:f>
      </x:c>
    </x:row>
    <x:row r="358">
      <x:c r="A358" t="str">
        <x:f>IF(B358="","",ROW()-1)</x:f>
      </x:c>
      <x:c r="B358" s="24"/>
      <x:c r="C358" t="str">
        <x:f>IF(B358="","",TEXT(B358,"mmm-yyyy"))</x:f>
      </x:c>
      <x:c r="D358" t="str">
        <x:f>IF(B358="","",TEXT(B358,"ddd"))</x:f>
      </x:c>
      <x:c r="E358" s="32"/>
      <x:c r="F358" s="32"/>
      <x:c r="G358"/>
      <x:c r="H358" s="22" t="n">
        <x:f>IF(OR(B358="",J358&lt;&gt;"Completed"),0,IF(AND(ISNUMBER(E358),ISNUMBER(F358)),ROUND(((F358-E358)+(F358&lt;E358))*24-(N(G358)/60),2),0))</x:f>
        <x:v>0</x:v>
      </x:c>
      <x:c r="I358" s="34" t="str">
        <x:f>IF(H358=0,"",H358/24)</x:f>
      </x:c>
      <x:c r="J358"/>
      <x:c r="K358" s="22" t="str">
        <x:f>IF(B358="","",START_HERE!$B$7)</x:f>
      </x:c>
      <x:c r="L358" s="22" t="str">
        <x:f>IF(B358="","",ROUND(K358-H358,2))</x:f>
      </x:c>
      <x:c r="M358"/>
      <x:c r="N358" t="str">
        <x:f>IF(B358="","",IF(J358&lt;&gt;"Completed","Not counted",IF(H358&lt;=0,"CHECK TIME","OK")))</x:f>
      </x:c>
    </x:row>
    <x:row r="359">
      <x:c r="A359" t="str">
        <x:f>IF(B359="","",ROW()-1)</x:f>
      </x:c>
      <x:c r="B359" s="24"/>
      <x:c r="C359" t="str">
        <x:f>IF(B359="","",TEXT(B359,"mmm-yyyy"))</x:f>
      </x:c>
      <x:c r="D359" t="str">
        <x:f>IF(B359="","",TEXT(B359,"ddd"))</x:f>
      </x:c>
      <x:c r="E359" s="32"/>
      <x:c r="F359" s="32"/>
      <x:c r="G359"/>
      <x:c r="H359" s="22" t="n">
        <x:f>IF(OR(B359="",J359&lt;&gt;"Completed"),0,IF(AND(ISNUMBER(E359),ISNUMBER(F359)),ROUND(((F359-E359)+(F359&lt;E359))*24-(N(G359)/60),2),0))</x:f>
        <x:v>0</x:v>
      </x:c>
      <x:c r="I359" s="34" t="str">
        <x:f>IF(H359=0,"",H359/24)</x:f>
      </x:c>
      <x:c r="J359"/>
      <x:c r="K359" s="22" t="str">
        <x:f>IF(B359="","",START_HERE!$B$7)</x:f>
      </x:c>
      <x:c r="L359" s="22" t="str">
        <x:f>IF(B359="","",ROUND(K359-H359,2))</x:f>
      </x:c>
      <x:c r="M359"/>
      <x:c r="N359" t="str">
        <x:f>IF(B359="","",IF(J359&lt;&gt;"Completed","Not counted",IF(H359&lt;=0,"CHECK TIME","OK")))</x:f>
      </x:c>
    </x:row>
    <x:row r="360">
      <x:c r="A360" t="str">
        <x:f>IF(B360="","",ROW()-1)</x:f>
      </x:c>
      <x:c r="B360" s="24"/>
      <x:c r="C360" t="str">
        <x:f>IF(B360="","",TEXT(B360,"mmm-yyyy"))</x:f>
      </x:c>
      <x:c r="D360" t="str">
        <x:f>IF(B360="","",TEXT(B360,"ddd"))</x:f>
      </x:c>
      <x:c r="E360" s="32"/>
      <x:c r="F360" s="32"/>
      <x:c r="G360"/>
      <x:c r="H360" s="22" t="n">
        <x:f>IF(OR(B360="",J360&lt;&gt;"Completed"),0,IF(AND(ISNUMBER(E360),ISNUMBER(F360)),ROUND(((F360-E360)+(F360&lt;E360))*24-(N(G360)/60),2),0))</x:f>
        <x:v>0</x:v>
      </x:c>
      <x:c r="I360" s="34" t="str">
        <x:f>IF(H360=0,"",H360/24)</x:f>
      </x:c>
      <x:c r="J360"/>
      <x:c r="K360" s="22" t="str">
        <x:f>IF(B360="","",START_HERE!$B$7)</x:f>
      </x:c>
      <x:c r="L360" s="22" t="str">
        <x:f>IF(B360="","",ROUND(K360-H360,2))</x:f>
      </x:c>
      <x:c r="M360"/>
      <x:c r="N360" t="str">
        <x:f>IF(B360="","",IF(J360&lt;&gt;"Completed","Not counted",IF(H360&lt;=0,"CHECK TIME","OK")))</x:f>
      </x:c>
    </x:row>
    <x:row r="361">
      <x:c r="A361" t="str">
        <x:f>IF(B361="","",ROW()-1)</x:f>
      </x:c>
      <x:c r="B361" s="24"/>
      <x:c r="C361" t="str">
        <x:f>IF(B361="","",TEXT(B361,"mmm-yyyy"))</x:f>
      </x:c>
      <x:c r="D361" t="str">
        <x:f>IF(B361="","",TEXT(B361,"ddd"))</x:f>
      </x:c>
      <x:c r="E361" s="32"/>
      <x:c r="F361" s="32"/>
      <x:c r="G361"/>
      <x:c r="H361" s="22" t="n">
        <x:f>IF(OR(B361="",J361&lt;&gt;"Completed"),0,IF(AND(ISNUMBER(E361),ISNUMBER(F361)),ROUND(((F361-E361)+(F361&lt;E361))*24-(N(G361)/60),2),0))</x:f>
        <x:v>0</x:v>
      </x:c>
      <x:c r="I361" s="34" t="str">
        <x:f>IF(H361=0,"",H361/24)</x:f>
      </x:c>
      <x:c r="J361"/>
      <x:c r="K361" s="22" t="str">
        <x:f>IF(B361="","",START_HERE!$B$7)</x:f>
      </x:c>
      <x:c r="L361" s="22" t="str">
        <x:f>IF(B361="","",ROUND(K361-H361,2))</x:f>
      </x:c>
      <x:c r="M361"/>
      <x:c r="N361" t="str">
        <x:f>IF(B361="","",IF(J361&lt;&gt;"Completed","Not counted",IF(H361&lt;=0,"CHECK TIME","OK")))</x:f>
      </x:c>
    </x:row>
    <x:row r="362">
      <x:c r="A362" t="str">
        <x:f>IF(B362="","",ROW()-1)</x:f>
      </x:c>
      <x:c r="B362" s="24"/>
      <x:c r="C362" t="str">
        <x:f>IF(B362="","",TEXT(B362,"mmm-yyyy"))</x:f>
      </x:c>
      <x:c r="D362" t="str">
        <x:f>IF(B362="","",TEXT(B362,"ddd"))</x:f>
      </x:c>
      <x:c r="E362" s="32"/>
      <x:c r="F362" s="32"/>
      <x:c r="G362"/>
      <x:c r="H362" s="22" t="n">
        <x:f>IF(OR(B362="",J362&lt;&gt;"Completed"),0,IF(AND(ISNUMBER(E362),ISNUMBER(F362)),ROUND(((F362-E362)+(F362&lt;E362))*24-(N(G362)/60),2),0))</x:f>
        <x:v>0</x:v>
      </x:c>
      <x:c r="I362" s="34" t="str">
        <x:f>IF(H362=0,"",H362/24)</x:f>
      </x:c>
      <x:c r="J362"/>
      <x:c r="K362" s="22" t="str">
        <x:f>IF(B362="","",START_HERE!$B$7)</x:f>
      </x:c>
      <x:c r="L362" s="22" t="str">
        <x:f>IF(B362="","",ROUND(K362-H362,2))</x:f>
      </x:c>
      <x:c r="M362"/>
      <x:c r="N362" t="str">
        <x:f>IF(B362="","",IF(J362&lt;&gt;"Completed","Not counted",IF(H362&lt;=0,"CHECK TIME","OK")))</x:f>
      </x:c>
    </x:row>
    <x:row r="363">
      <x:c r="A363" t="str">
        <x:f>IF(B363="","",ROW()-1)</x:f>
      </x:c>
      <x:c r="B363" s="24"/>
      <x:c r="C363" t="str">
        <x:f>IF(B363="","",TEXT(B363,"mmm-yyyy"))</x:f>
      </x:c>
      <x:c r="D363" t="str">
        <x:f>IF(B363="","",TEXT(B363,"ddd"))</x:f>
      </x:c>
      <x:c r="E363" s="32"/>
      <x:c r="F363" s="32"/>
      <x:c r="G363"/>
      <x:c r="H363" s="22" t="n">
        <x:f>IF(OR(B363="",J363&lt;&gt;"Completed"),0,IF(AND(ISNUMBER(E363),ISNUMBER(F363)),ROUND(((F363-E363)+(F363&lt;E363))*24-(N(G363)/60),2),0))</x:f>
        <x:v>0</x:v>
      </x:c>
      <x:c r="I363" s="34" t="str">
        <x:f>IF(H363=0,"",H363/24)</x:f>
      </x:c>
      <x:c r="J363"/>
      <x:c r="K363" s="22" t="str">
        <x:f>IF(B363="","",START_HERE!$B$7)</x:f>
      </x:c>
      <x:c r="L363" s="22" t="str">
        <x:f>IF(B363="","",ROUND(K363-H363,2))</x:f>
      </x:c>
      <x:c r="M363"/>
      <x:c r="N363" t="str">
        <x:f>IF(B363="","",IF(J363&lt;&gt;"Completed","Not counted",IF(H363&lt;=0,"CHECK TIME","OK")))</x:f>
      </x:c>
    </x:row>
    <x:row r="364">
      <x:c r="A364" t="str">
        <x:f>IF(B364="","",ROW()-1)</x:f>
      </x:c>
      <x:c r="B364" s="24"/>
      <x:c r="C364" t="str">
        <x:f>IF(B364="","",TEXT(B364,"mmm-yyyy"))</x:f>
      </x:c>
      <x:c r="D364" t="str">
        <x:f>IF(B364="","",TEXT(B364,"ddd"))</x:f>
      </x:c>
      <x:c r="E364" s="32"/>
      <x:c r="F364" s="32"/>
      <x:c r="G364"/>
      <x:c r="H364" s="22" t="n">
        <x:f>IF(OR(B364="",J364&lt;&gt;"Completed"),0,IF(AND(ISNUMBER(E364),ISNUMBER(F364)),ROUND(((F364-E364)+(F364&lt;E364))*24-(N(G364)/60),2),0))</x:f>
        <x:v>0</x:v>
      </x:c>
      <x:c r="I364" s="34" t="str">
        <x:f>IF(H364=0,"",H364/24)</x:f>
      </x:c>
      <x:c r="J364"/>
      <x:c r="K364" s="22" t="str">
        <x:f>IF(B364="","",START_HERE!$B$7)</x:f>
      </x:c>
      <x:c r="L364" s="22" t="str">
        <x:f>IF(B364="","",ROUND(K364-H364,2))</x:f>
      </x:c>
      <x:c r="M364"/>
      <x:c r="N364" t="str">
        <x:f>IF(B364="","",IF(J364&lt;&gt;"Completed","Not counted",IF(H364&lt;=0,"CHECK TIME","OK")))</x:f>
      </x:c>
    </x:row>
    <x:row r="365">
      <x:c r="A365" t="str">
        <x:f>IF(B365="","",ROW()-1)</x:f>
      </x:c>
      <x:c r="B365" s="24"/>
      <x:c r="C365" t="str">
        <x:f>IF(B365="","",TEXT(B365,"mmm-yyyy"))</x:f>
      </x:c>
      <x:c r="D365" t="str">
        <x:f>IF(B365="","",TEXT(B365,"ddd"))</x:f>
      </x:c>
      <x:c r="E365" s="32"/>
      <x:c r="F365" s="32"/>
      <x:c r="G365"/>
      <x:c r="H365" s="22" t="n">
        <x:f>IF(OR(B365="",J365&lt;&gt;"Completed"),0,IF(AND(ISNUMBER(E365),ISNUMBER(F365)),ROUND(((F365-E365)+(F365&lt;E365))*24-(N(G365)/60),2),0))</x:f>
        <x:v>0</x:v>
      </x:c>
      <x:c r="I365" s="34" t="str">
        <x:f>IF(H365=0,"",H365/24)</x:f>
      </x:c>
      <x:c r="J365"/>
      <x:c r="K365" s="22" t="str">
        <x:f>IF(B365="","",START_HERE!$B$7)</x:f>
      </x:c>
      <x:c r="L365" s="22" t="str">
        <x:f>IF(B365="","",ROUND(K365-H365,2))</x:f>
      </x:c>
      <x:c r="M365"/>
      <x:c r="N365" t="str">
        <x:f>IF(B365="","",IF(J365&lt;&gt;"Completed","Not counted",IF(H365&lt;=0,"CHECK TIME","OK")))</x:f>
      </x:c>
    </x:row>
    <x:row r="366">
      <x:c r="A366" t="str">
        <x:f>IF(B366="","",ROW()-1)</x:f>
      </x:c>
      <x:c r="B366" s="24"/>
      <x:c r="C366" t="str">
        <x:f>IF(B366="","",TEXT(B366,"mmm-yyyy"))</x:f>
      </x:c>
      <x:c r="D366" t="str">
        <x:f>IF(B366="","",TEXT(B366,"ddd"))</x:f>
      </x:c>
      <x:c r="E366" s="32"/>
      <x:c r="F366" s="32"/>
      <x:c r="G366"/>
      <x:c r="H366" s="22" t="n">
        <x:f>IF(OR(B366="",J366&lt;&gt;"Completed"),0,IF(AND(ISNUMBER(E366),ISNUMBER(F366)),ROUND(((F366-E366)+(F366&lt;E366))*24-(N(G366)/60),2),0))</x:f>
        <x:v>0</x:v>
      </x:c>
      <x:c r="I366" s="34" t="str">
        <x:f>IF(H366=0,"",H366/24)</x:f>
      </x:c>
      <x:c r="J366"/>
      <x:c r="K366" s="22" t="str">
        <x:f>IF(B366="","",START_HERE!$B$7)</x:f>
      </x:c>
      <x:c r="L366" s="22" t="str">
        <x:f>IF(B366="","",ROUND(K366-H366,2))</x:f>
      </x:c>
      <x:c r="M366"/>
      <x:c r="N366" t="str">
        <x:f>IF(B366="","",IF(J366&lt;&gt;"Completed","Not counted",IF(H366&lt;=0,"CHECK TIME","OK")))</x:f>
      </x:c>
    </x:row>
    <x:row r="367">
      <x:c r="A367" t="str">
        <x:f>IF(B367="","",ROW()-1)</x:f>
      </x:c>
      <x:c r="B367" s="24"/>
      <x:c r="C367" t="str">
        <x:f>IF(B367="","",TEXT(B367,"mmm-yyyy"))</x:f>
      </x:c>
      <x:c r="D367" t="str">
        <x:f>IF(B367="","",TEXT(B367,"ddd"))</x:f>
      </x:c>
      <x:c r="E367" s="32"/>
      <x:c r="F367" s="32"/>
      <x:c r="G367"/>
      <x:c r="H367" s="22" t="n">
        <x:f>IF(OR(B367="",J367&lt;&gt;"Completed"),0,IF(AND(ISNUMBER(E367),ISNUMBER(F367)),ROUND(((F367-E367)+(F367&lt;E367))*24-(N(G367)/60),2),0))</x:f>
        <x:v>0</x:v>
      </x:c>
      <x:c r="I367" s="34" t="str">
        <x:f>IF(H367=0,"",H367/24)</x:f>
      </x:c>
      <x:c r="J367"/>
      <x:c r="K367" s="22" t="str">
        <x:f>IF(B367="","",START_HERE!$B$7)</x:f>
      </x:c>
      <x:c r="L367" s="22" t="str">
        <x:f>IF(B367="","",ROUND(K367-H367,2))</x:f>
      </x:c>
      <x:c r="M367"/>
      <x:c r="N367" t="str">
        <x:f>IF(B367="","",IF(J367&lt;&gt;"Completed","Not counted",IF(H367&lt;=0,"CHECK TIME","OK")))</x:f>
      </x:c>
    </x:row>
    <x:row r="368">
      <x:c r="A368" t="str">
        <x:f>IF(B368="","",ROW()-1)</x:f>
      </x:c>
      <x:c r="B368" s="24"/>
      <x:c r="C368" t="str">
        <x:f>IF(B368="","",TEXT(B368,"mmm-yyyy"))</x:f>
      </x:c>
      <x:c r="D368" t="str">
        <x:f>IF(B368="","",TEXT(B368,"ddd"))</x:f>
      </x:c>
      <x:c r="E368" s="32"/>
      <x:c r="F368" s="32"/>
      <x:c r="G368"/>
      <x:c r="H368" s="22" t="n">
        <x:f>IF(OR(B368="",J368&lt;&gt;"Completed"),0,IF(AND(ISNUMBER(E368),ISNUMBER(F368)),ROUND(((F368-E368)+(F368&lt;E368))*24-(N(G368)/60),2),0))</x:f>
        <x:v>0</x:v>
      </x:c>
      <x:c r="I368" s="34" t="str">
        <x:f>IF(H368=0,"",H368/24)</x:f>
      </x:c>
      <x:c r="J368"/>
      <x:c r="K368" s="22" t="str">
        <x:f>IF(B368="","",START_HERE!$B$7)</x:f>
      </x:c>
      <x:c r="L368" s="22" t="str">
        <x:f>IF(B368="","",ROUND(K368-H368,2))</x:f>
      </x:c>
      <x:c r="M368"/>
      <x:c r="N368" t="str">
        <x:f>IF(B368="","",IF(J368&lt;&gt;"Completed","Not counted",IF(H368&lt;=0,"CHECK TIME","OK")))</x:f>
      </x:c>
    </x:row>
    <x:row r="369">
      <x:c r="A369" t="str">
        <x:f>IF(B369="","",ROW()-1)</x:f>
      </x:c>
      <x:c r="B369" s="24"/>
      <x:c r="C369" t="str">
        <x:f>IF(B369="","",TEXT(B369,"mmm-yyyy"))</x:f>
      </x:c>
      <x:c r="D369" t="str">
        <x:f>IF(B369="","",TEXT(B369,"ddd"))</x:f>
      </x:c>
      <x:c r="E369" s="32"/>
      <x:c r="F369" s="32"/>
      <x:c r="G369"/>
      <x:c r="H369" s="22" t="n">
        <x:f>IF(OR(B369="",J369&lt;&gt;"Completed"),0,IF(AND(ISNUMBER(E369),ISNUMBER(F369)),ROUND(((F369-E369)+(F369&lt;E369))*24-(N(G369)/60),2),0))</x:f>
        <x:v>0</x:v>
      </x:c>
      <x:c r="I369" s="34" t="str">
        <x:f>IF(H369=0,"",H369/24)</x:f>
      </x:c>
      <x:c r="J369"/>
      <x:c r="K369" s="22" t="str">
        <x:f>IF(B369="","",START_HERE!$B$7)</x:f>
      </x:c>
      <x:c r="L369" s="22" t="str">
        <x:f>IF(B369="","",ROUND(K369-H369,2))</x:f>
      </x:c>
      <x:c r="M369"/>
      <x:c r="N369" t="str">
        <x:f>IF(B369="","",IF(J369&lt;&gt;"Completed","Not counted",IF(H369&lt;=0,"CHECK TIME","OK")))</x:f>
      </x:c>
    </x:row>
    <x:row r="370">
      <x:c r="A370" t="str">
        <x:f>IF(B370="","",ROW()-1)</x:f>
      </x:c>
      <x:c r="B370" s="24"/>
      <x:c r="C370" t="str">
        <x:f>IF(B370="","",TEXT(B370,"mmm-yyyy"))</x:f>
      </x:c>
      <x:c r="D370" t="str">
        <x:f>IF(B370="","",TEXT(B370,"ddd"))</x:f>
      </x:c>
      <x:c r="E370" s="32"/>
      <x:c r="F370" s="32"/>
      <x:c r="G370"/>
      <x:c r="H370" s="22" t="n">
        <x:f>IF(OR(B370="",J370&lt;&gt;"Completed"),0,IF(AND(ISNUMBER(E370),ISNUMBER(F370)),ROUND(((F370-E370)+(F370&lt;E370))*24-(N(G370)/60),2),0))</x:f>
        <x:v>0</x:v>
      </x:c>
      <x:c r="I370" s="34" t="str">
        <x:f>IF(H370=0,"",H370/24)</x:f>
      </x:c>
      <x:c r="J370"/>
      <x:c r="K370" s="22" t="str">
        <x:f>IF(B370="","",START_HERE!$B$7)</x:f>
      </x:c>
      <x:c r="L370" s="22" t="str">
        <x:f>IF(B370="","",ROUND(K370-H370,2))</x:f>
      </x:c>
      <x:c r="M370"/>
      <x:c r="N370" t="str">
        <x:f>IF(B370="","",IF(J370&lt;&gt;"Completed","Not counted",IF(H370&lt;=0,"CHECK TIME","OK")))</x:f>
      </x:c>
    </x:row>
    <x:row r="371">
      <x:c r="A371" t="str">
        <x:f>IF(B371="","",ROW()-1)</x:f>
      </x:c>
      <x:c r="B371" s="24"/>
      <x:c r="C371" t="str">
        <x:f>IF(B371="","",TEXT(B371,"mmm-yyyy"))</x:f>
      </x:c>
      <x:c r="D371" t="str">
        <x:f>IF(B371="","",TEXT(B371,"ddd"))</x:f>
      </x:c>
      <x:c r="E371" s="32"/>
      <x:c r="F371" s="32"/>
      <x:c r="G371"/>
      <x:c r="H371" s="22" t="n">
        <x:f>IF(OR(B371="",J371&lt;&gt;"Completed"),0,IF(AND(ISNUMBER(E371),ISNUMBER(F371)),ROUND(((F371-E371)+(F371&lt;E371))*24-(N(G371)/60),2),0))</x:f>
        <x:v>0</x:v>
      </x:c>
      <x:c r="I371" s="34" t="str">
        <x:f>IF(H371=0,"",H371/24)</x:f>
      </x:c>
      <x:c r="J371"/>
      <x:c r="K371" s="22" t="str">
        <x:f>IF(B371="","",START_HERE!$B$7)</x:f>
      </x:c>
      <x:c r="L371" s="22" t="str">
        <x:f>IF(B371="","",ROUND(K371-H371,2))</x:f>
      </x:c>
      <x:c r="M371"/>
      <x:c r="N371" t="str">
        <x:f>IF(B371="","",IF(J371&lt;&gt;"Completed","Not counted",IF(H371&lt;=0,"CHECK TIME","OK")))</x:f>
      </x:c>
    </x:row>
    <x:row r="372">
      <x:c r="A372" t="str">
        <x:f>IF(B372="","",ROW()-1)</x:f>
      </x:c>
      <x:c r="B372" s="24"/>
      <x:c r="C372" t="str">
        <x:f>IF(B372="","",TEXT(B372,"mmm-yyyy"))</x:f>
      </x:c>
      <x:c r="D372" t="str">
        <x:f>IF(B372="","",TEXT(B372,"ddd"))</x:f>
      </x:c>
      <x:c r="E372" s="32"/>
      <x:c r="F372" s="32"/>
      <x:c r="G372"/>
      <x:c r="H372" s="22" t="n">
        <x:f>IF(OR(B372="",J372&lt;&gt;"Completed"),0,IF(AND(ISNUMBER(E372),ISNUMBER(F372)),ROUND(((F372-E372)+(F372&lt;E372))*24-(N(G372)/60),2),0))</x:f>
        <x:v>0</x:v>
      </x:c>
      <x:c r="I372" s="34" t="str">
        <x:f>IF(H372=0,"",H372/24)</x:f>
      </x:c>
      <x:c r="J372"/>
      <x:c r="K372" s="22" t="str">
        <x:f>IF(B372="","",START_HERE!$B$7)</x:f>
      </x:c>
      <x:c r="L372" s="22" t="str">
        <x:f>IF(B372="","",ROUND(K372-H372,2))</x:f>
      </x:c>
      <x:c r="M372"/>
      <x:c r="N372" t="str">
        <x:f>IF(B372="","",IF(J372&lt;&gt;"Completed","Not counted",IF(H372&lt;=0,"CHECK TIME","OK")))</x:f>
      </x:c>
    </x:row>
    <x:row r="373">
      <x:c r="A373" t="str">
        <x:f>IF(B373="","",ROW()-1)</x:f>
      </x:c>
      <x:c r="B373" s="24"/>
      <x:c r="C373" t="str">
        <x:f>IF(B373="","",TEXT(B373,"mmm-yyyy"))</x:f>
      </x:c>
      <x:c r="D373" t="str">
        <x:f>IF(B373="","",TEXT(B373,"ddd"))</x:f>
      </x:c>
      <x:c r="E373" s="32"/>
      <x:c r="F373" s="32"/>
      <x:c r="G373"/>
      <x:c r="H373" s="22" t="n">
        <x:f>IF(OR(B373="",J373&lt;&gt;"Completed"),0,IF(AND(ISNUMBER(E373),ISNUMBER(F373)),ROUND(((F373-E373)+(F373&lt;E373))*24-(N(G373)/60),2),0))</x:f>
        <x:v>0</x:v>
      </x:c>
      <x:c r="I373" s="34" t="str">
        <x:f>IF(H373=0,"",H373/24)</x:f>
      </x:c>
      <x:c r="J373"/>
      <x:c r="K373" s="22" t="str">
        <x:f>IF(B373="","",START_HERE!$B$7)</x:f>
      </x:c>
      <x:c r="L373" s="22" t="str">
        <x:f>IF(B373="","",ROUND(K373-H373,2))</x:f>
      </x:c>
      <x:c r="M373"/>
      <x:c r="N373" t="str">
        <x:f>IF(B373="","",IF(J373&lt;&gt;"Completed","Not counted",IF(H373&lt;=0,"CHECK TIME","OK")))</x:f>
      </x:c>
    </x:row>
    <x:row r="374">
      <x:c r="A374" t="str">
        <x:f>IF(B374="","",ROW()-1)</x:f>
      </x:c>
      <x:c r="B374" s="24"/>
      <x:c r="C374" t="str">
        <x:f>IF(B374="","",TEXT(B374,"mmm-yyyy"))</x:f>
      </x:c>
      <x:c r="D374" t="str">
        <x:f>IF(B374="","",TEXT(B374,"ddd"))</x:f>
      </x:c>
      <x:c r="E374" s="32"/>
      <x:c r="F374" s="32"/>
      <x:c r="G374"/>
      <x:c r="H374" s="22" t="n">
        <x:f>IF(OR(B374="",J374&lt;&gt;"Completed"),0,IF(AND(ISNUMBER(E374),ISNUMBER(F374)),ROUND(((F374-E374)+(F374&lt;E374))*24-(N(G374)/60),2),0))</x:f>
        <x:v>0</x:v>
      </x:c>
      <x:c r="I374" s="34" t="str">
        <x:f>IF(H374=0,"",H374/24)</x:f>
      </x:c>
      <x:c r="J374"/>
      <x:c r="K374" s="22" t="str">
        <x:f>IF(B374="","",START_HERE!$B$7)</x:f>
      </x:c>
      <x:c r="L374" s="22" t="str">
        <x:f>IF(B374="","",ROUND(K374-H374,2))</x:f>
      </x:c>
      <x:c r="M374"/>
      <x:c r="N374" t="str">
        <x:f>IF(B374="","",IF(J374&lt;&gt;"Completed","Not counted",IF(H374&lt;=0,"CHECK TIME","OK")))</x:f>
      </x:c>
    </x:row>
    <x:row r="375">
      <x:c r="A375" t="str">
        <x:f>IF(B375="","",ROW()-1)</x:f>
      </x:c>
      <x:c r="B375" s="24"/>
      <x:c r="C375" t="str">
        <x:f>IF(B375="","",TEXT(B375,"mmm-yyyy"))</x:f>
      </x:c>
      <x:c r="D375" t="str">
        <x:f>IF(B375="","",TEXT(B375,"ddd"))</x:f>
      </x:c>
      <x:c r="E375" s="32"/>
      <x:c r="F375" s="32"/>
      <x:c r="G375"/>
      <x:c r="H375" s="22" t="n">
        <x:f>IF(OR(B375="",J375&lt;&gt;"Completed"),0,IF(AND(ISNUMBER(E375),ISNUMBER(F375)),ROUND(((F375-E375)+(F375&lt;E375))*24-(N(G375)/60),2),0))</x:f>
        <x:v>0</x:v>
      </x:c>
      <x:c r="I375" s="34" t="str">
        <x:f>IF(H375=0,"",H375/24)</x:f>
      </x:c>
      <x:c r="J375"/>
      <x:c r="K375" s="22" t="str">
        <x:f>IF(B375="","",START_HERE!$B$7)</x:f>
      </x:c>
      <x:c r="L375" s="22" t="str">
        <x:f>IF(B375="","",ROUND(K375-H375,2))</x:f>
      </x:c>
      <x:c r="M375"/>
      <x:c r="N375" t="str">
        <x:f>IF(B375="","",IF(J375&lt;&gt;"Completed","Not counted",IF(H375&lt;=0,"CHECK TIME","OK")))</x:f>
      </x:c>
    </x:row>
    <x:row r="376">
      <x:c r="A376" t="str">
        <x:f>IF(B376="","",ROW()-1)</x:f>
      </x:c>
      <x:c r="B376" s="24"/>
      <x:c r="C376" t="str">
        <x:f>IF(B376="","",TEXT(B376,"mmm-yyyy"))</x:f>
      </x:c>
      <x:c r="D376" t="str">
        <x:f>IF(B376="","",TEXT(B376,"ddd"))</x:f>
      </x:c>
      <x:c r="E376" s="32"/>
      <x:c r="F376" s="32"/>
      <x:c r="G376"/>
      <x:c r="H376" s="22" t="n">
        <x:f>IF(OR(B376="",J376&lt;&gt;"Completed"),0,IF(AND(ISNUMBER(E376),ISNUMBER(F376)),ROUND(((F376-E376)+(F376&lt;E376))*24-(N(G376)/60),2),0))</x:f>
        <x:v>0</x:v>
      </x:c>
      <x:c r="I376" s="34" t="str">
        <x:f>IF(H376=0,"",H376/24)</x:f>
      </x:c>
      <x:c r="J376"/>
      <x:c r="K376" s="22" t="str">
        <x:f>IF(B376="","",START_HERE!$B$7)</x:f>
      </x:c>
      <x:c r="L376" s="22" t="str">
        <x:f>IF(B376="","",ROUND(K376-H376,2))</x:f>
      </x:c>
      <x:c r="M376"/>
      <x:c r="N376" t="str">
        <x:f>IF(B376="","",IF(J376&lt;&gt;"Completed","Not counted",IF(H376&lt;=0,"CHECK TIME","OK")))</x:f>
      </x:c>
    </x:row>
    <x:row r="377">
      <x:c r="A377" t="str">
        <x:f>IF(B377="","",ROW()-1)</x:f>
      </x:c>
      <x:c r="B377" s="24"/>
      <x:c r="C377" t="str">
        <x:f>IF(B377="","",TEXT(B377,"mmm-yyyy"))</x:f>
      </x:c>
      <x:c r="D377" t="str">
        <x:f>IF(B377="","",TEXT(B377,"ddd"))</x:f>
      </x:c>
      <x:c r="E377" s="32"/>
      <x:c r="F377" s="32"/>
      <x:c r="G377"/>
      <x:c r="H377" s="22" t="n">
        <x:f>IF(OR(B377="",J377&lt;&gt;"Completed"),0,IF(AND(ISNUMBER(E377),ISNUMBER(F377)),ROUND(((F377-E377)+(F377&lt;E377))*24-(N(G377)/60),2),0))</x:f>
        <x:v>0</x:v>
      </x:c>
      <x:c r="I377" s="34" t="str">
        <x:f>IF(H377=0,"",H377/24)</x:f>
      </x:c>
      <x:c r="J377"/>
      <x:c r="K377" s="22" t="str">
        <x:f>IF(B377="","",START_HERE!$B$7)</x:f>
      </x:c>
      <x:c r="L377" s="22" t="str">
        <x:f>IF(B377="","",ROUND(K377-H377,2))</x:f>
      </x:c>
      <x:c r="M377"/>
      <x:c r="N377" t="str">
        <x:f>IF(B377="","",IF(J377&lt;&gt;"Completed","Not counted",IF(H377&lt;=0,"CHECK TIME","OK")))</x:f>
      </x:c>
    </x:row>
    <x:row r="378">
      <x:c r="A378" t="str">
        <x:f>IF(B378="","",ROW()-1)</x:f>
      </x:c>
      <x:c r="B378" s="24"/>
      <x:c r="C378" t="str">
        <x:f>IF(B378="","",TEXT(B378,"mmm-yyyy"))</x:f>
      </x:c>
      <x:c r="D378" t="str">
        <x:f>IF(B378="","",TEXT(B378,"ddd"))</x:f>
      </x:c>
      <x:c r="E378" s="32"/>
      <x:c r="F378" s="32"/>
      <x:c r="G378"/>
      <x:c r="H378" s="22" t="n">
        <x:f>IF(OR(B378="",J378&lt;&gt;"Completed"),0,IF(AND(ISNUMBER(E378),ISNUMBER(F378)),ROUND(((F378-E378)+(F378&lt;E378))*24-(N(G378)/60),2),0))</x:f>
        <x:v>0</x:v>
      </x:c>
      <x:c r="I378" s="34" t="str">
        <x:f>IF(H378=0,"",H378/24)</x:f>
      </x:c>
      <x:c r="J378"/>
      <x:c r="K378" s="22" t="str">
        <x:f>IF(B378="","",START_HERE!$B$7)</x:f>
      </x:c>
      <x:c r="L378" s="22" t="str">
        <x:f>IF(B378="","",ROUND(K378-H378,2))</x:f>
      </x:c>
      <x:c r="M378"/>
      <x:c r="N378" t="str">
        <x:f>IF(B378="","",IF(J378&lt;&gt;"Completed","Not counted",IF(H378&lt;=0,"CHECK TIME","OK")))</x:f>
      </x:c>
    </x:row>
    <x:row r="379">
      <x:c r="A379" t="str">
        <x:f>IF(B379="","",ROW()-1)</x:f>
      </x:c>
      <x:c r="B379" s="24"/>
      <x:c r="C379" t="str">
        <x:f>IF(B379="","",TEXT(B379,"mmm-yyyy"))</x:f>
      </x:c>
      <x:c r="D379" t="str">
        <x:f>IF(B379="","",TEXT(B379,"ddd"))</x:f>
      </x:c>
      <x:c r="E379" s="32"/>
      <x:c r="F379" s="32"/>
      <x:c r="G379"/>
      <x:c r="H379" s="22" t="n">
        <x:f>IF(OR(B379="",J379&lt;&gt;"Completed"),0,IF(AND(ISNUMBER(E379),ISNUMBER(F379)),ROUND(((F379-E379)+(F379&lt;E379))*24-(N(G379)/60),2),0))</x:f>
        <x:v>0</x:v>
      </x:c>
      <x:c r="I379" s="34" t="str">
        <x:f>IF(H379=0,"",H379/24)</x:f>
      </x:c>
      <x:c r="J379"/>
      <x:c r="K379" s="22" t="str">
        <x:f>IF(B379="","",START_HERE!$B$7)</x:f>
      </x:c>
      <x:c r="L379" s="22" t="str">
        <x:f>IF(B379="","",ROUND(K379-H379,2))</x:f>
      </x:c>
      <x:c r="M379"/>
      <x:c r="N379" t="str">
        <x:f>IF(B379="","",IF(J379&lt;&gt;"Completed","Not counted",IF(H379&lt;=0,"CHECK TIME","OK")))</x:f>
      </x:c>
    </x:row>
    <x:row r="380">
      <x:c r="A380" t="str">
        <x:f>IF(B380="","",ROW()-1)</x:f>
      </x:c>
      <x:c r="B380" s="24"/>
      <x:c r="C380" t="str">
        <x:f>IF(B380="","",TEXT(B380,"mmm-yyyy"))</x:f>
      </x:c>
      <x:c r="D380" t="str">
        <x:f>IF(B380="","",TEXT(B380,"ddd"))</x:f>
      </x:c>
      <x:c r="E380" s="32"/>
      <x:c r="F380" s="32"/>
      <x:c r="G380"/>
      <x:c r="H380" s="22" t="n">
        <x:f>IF(OR(B380="",J380&lt;&gt;"Completed"),0,IF(AND(ISNUMBER(E380),ISNUMBER(F380)),ROUND(((F380-E380)+(F380&lt;E380))*24-(N(G380)/60),2),0))</x:f>
        <x:v>0</x:v>
      </x:c>
      <x:c r="I380" s="34" t="str">
        <x:f>IF(H380=0,"",H380/24)</x:f>
      </x:c>
      <x:c r="J380"/>
      <x:c r="K380" s="22" t="str">
        <x:f>IF(B380="","",START_HERE!$B$7)</x:f>
      </x:c>
      <x:c r="L380" s="22" t="str">
        <x:f>IF(B380="","",ROUND(K380-H380,2))</x:f>
      </x:c>
      <x:c r="M380"/>
      <x:c r="N380" t="str">
        <x:f>IF(B380="","",IF(J380&lt;&gt;"Completed","Not counted",IF(H380&lt;=0,"CHECK TIME","OK")))</x:f>
      </x:c>
    </x:row>
    <x:row r="381">
      <x:c r="A381" t="str">
        <x:f>IF(B381="","",ROW()-1)</x:f>
      </x:c>
      <x:c r="B381" s="24"/>
      <x:c r="C381" t="str">
        <x:f>IF(B381="","",TEXT(B381,"mmm-yyyy"))</x:f>
      </x:c>
      <x:c r="D381" t="str">
        <x:f>IF(B381="","",TEXT(B381,"ddd"))</x:f>
      </x:c>
      <x:c r="E381" s="32"/>
      <x:c r="F381" s="32"/>
      <x:c r="G381"/>
      <x:c r="H381" s="22" t="n">
        <x:f>IF(OR(B381="",J381&lt;&gt;"Completed"),0,IF(AND(ISNUMBER(E381),ISNUMBER(F381)),ROUND(((F381-E381)+(F381&lt;E381))*24-(N(G381)/60),2),0))</x:f>
        <x:v>0</x:v>
      </x:c>
      <x:c r="I381" s="34" t="str">
        <x:f>IF(H381=0,"",H381/24)</x:f>
      </x:c>
      <x:c r="J381"/>
      <x:c r="K381" s="22" t="str">
        <x:f>IF(B381="","",START_HERE!$B$7)</x:f>
      </x:c>
      <x:c r="L381" s="22" t="str">
        <x:f>IF(B381="","",ROUND(K381-H381,2))</x:f>
      </x:c>
      <x:c r="M381"/>
      <x:c r="N381" t="str">
        <x:f>IF(B381="","",IF(J381&lt;&gt;"Completed","Not counted",IF(H381&lt;=0,"CHECK TIME","OK")))</x:f>
      </x:c>
    </x:row>
    <x:row r="382">
      <x:c r="A382" t="str">
        <x:f>IF(B382="","",ROW()-1)</x:f>
      </x:c>
      <x:c r="B382" s="24"/>
      <x:c r="C382" t="str">
        <x:f>IF(B382="","",TEXT(B382,"mmm-yyyy"))</x:f>
      </x:c>
      <x:c r="D382" t="str">
        <x:f>IF(B382="","",TEXT(B382,"ddd"))</x:f>
      </x:c>
      <x:c r="E382" s="32"/>
      <x:c r="F382" s="32"/>
      <x:c r="G382"/>
      <x:c r="H382" s="22" t="n">
        <x:f>IF(OR(B382="",J382&lt;&gt;"Completed"),0,IF(AND(ISNUMBER(E382),ISNUMBER(F382)),ROUND(((F382-E382)+(F382&lt;E382))*24-(N(G382)/60),2),0))</x:f>
        <x:v>0</x:v>
      </x:c>
      <x:c r="I382" s="34" t="str">
        <x:f>IF(H382=0,"",H382/24)</x:f>
      </x:c>
      <x:c r="J382"/>
      <x:c r="K382" s="22" t="str">
        <x:f>IF(B382="","",START_HERE!$B$7)</x:f>
      </x:c>
      <x:c r="L382" s="22" t="str">
        <x:f>IF(B382="","",ROUND(K382-H382,2))</x:f>
      </x:c>
      <x:c r="M382"/>
      <x:c r="N382" t="str">
        <x:f>IF(B382="","",IF(J382&lt;&gt;"Completed","Not counted",IF(H382&lt;=0,"CHECK TIME","OK")))</x:f>
      </x:c>
    </x:row>
    <x:row r="383">
      <x:c r="A383" t="str">
        <x:f>IF(B383="","",ROW()-1)</x:f>
      </x:c>
      <x:c r="B383" s="24"/>
      <x:c r="C383" t="str">
        <x:f>IF(B383="","",TEXT(B383,"mmm-yyyy"))</x:f>
      </x:c>
      <x:c r="D383" t="str">
        <x:f>IF(B383="","",TEXT(B383,"ddd"))</x:f>
      </x:c>
      <x:c r="E383" s="32"/>
      <x:c r="F383" s="32"/>
      <x:c r="G383"/>
      <x:c r="H383" s="22" t="n">
        <x:f>IF(OR(B383="",J383&lt;&gt;"Completed"),0,IF(AND(ISNUMBER(E383),ISNUMBER(F383)),ROUND(((F383-E383)+(F383&lt;E383))*24-(N(G383)/60),2),0))</x:f>
        <x:v>0</x:v>
      </x:c>
      <x:c r="I383" s="34" t="str">
        <x:f>IF(H383=0,"",H383/24)</x:f>
      </x:c>
      <x:c r="J383"/>
      <x:c r="K383" s="22" t="str">
        <x:f>IF(B383="","",START_HERE!$B$7)</x:f>
      </x:c>
      <x:c r="L383" s="22" t="str">
        <x:f>IF(B383="","",ROUND(K383-H383,2))</x:f>
      </x:c>
      <x:c r="M383"/>
      <x:c r="N383" t="str">
        <x:f>IF(B383="","",IF(J383&lt;&gt;"Completed","Not counted",IF(H383&lt;=0,"CHECK TIME","OK")))</x:f>
      </x:c>
    </x:row>
    <x:row r="384">
      <x:c r="A384" t="str">
        <x:f>IF(B384="","",ROW()-1)</x:f>
      </x:c>
      <x:c r="B384" s="24"/>
      <x:c r="C384" t="str">
        <x:f>IF(B384="","",TEXT(B384,"mmm-yyyy"))</x:f>
      </x:c>
      <x:c r="D384" t="str">
        <x:f>IF(B384="","",TEXT(B384,"ddd"))</x:f>
      </x:c>
      <x:c r="E384" s="32"/>
      <x:c r="F384" s="32"/>
      <x:c r="G384"/>
      <x:c r="H384" s="22" t="n">
        <x:f>IF(OR(B384="",J384&lt;&gt;"Completed"),0,IF(AND(ISNUMBER(E384),ISNUMBER(F384)),ROUND(((F384-E384)+(F384&lt;E384))*24-(N(G384)/60),2),0))</x:f>
        <x:v>0</x:v>
      </x:c>
      <x:c r="I384" s="34" t="str">
        <x:f>IF(H384=0,"",H384/24)</x:f>
      </x:c>
      <x:c r="J384"/>
      <x:c r="K384" s="22" t="str">
        <x:f>IF(B384="","",START_HERE!$B$7)</x:f>
      </x:c>
      <x:c r="L384" s="22" t="str">
        <x:f>IF(B384="","",ROUND(K384-H384,2))</x:f>
      </x:c>
      <x:c r="M384"/>
      <x:c r="N384" t="str">
        <x:f>IF(B384="","",IF(J384&lt;&gt;"Completed","Not counted",IF(H384&lt;=0,"CHECK TIME","OK")))</x:f>
      </x:c>
    </x:row>
    <x:row r="385">
      <x:c r="A385" t="str">
        <x:f>IF(B385="","",ROW()-1)</x:f>
      </x:c>
      <x:c r="B385" s="24"/>
      <x:c r="C385" t="str">
        <x:f>IF(B385="","",TEXT(B385,"mmm-yyyy"))</x:f>
      </x:c>
      <x:c r="D385" t="str">
        <x:f>IF(B385="","",TEXT(B385,"ddd"))</x:f>
      </x:c>
      <x:c r="E385" s="32"/>
      <x:c r="F385" s="32"/>
      <x:c r="G385"/>
      <x:c r="H385" s="22" t="n">
        <x:f>IF(OR(B385="",J385&lt;&gt;"Completed"),0,IF(AND(ISNUMBER(E385),ISNUMBER(F385)),ROUND(((F385-E385)+(F385&lt;E385))*24-(N(G385)/60),2),0))</x:f>
        <x:v>0</x:v>
      </x:c>
      <x:c r="I385" s="34" t="str">
        <x:f>IF(H385=0,"",H385/24)</x:f>
      </x:c>
      <x:c r="J385"/>
      <x:c r="K385" s="22" t="str">
        <x:f>IF(B385="","",START_HERE!$B$7)</x:f>
      </x:c>
      <x:c r="L385" s="22" t="str">
        <x:f>IF(B385="","",ROUND(K385-H385,2))</x:f>
      </x:c>
      <x:c r="M385"/>
      <x:c r="N385" t="str">
        <x:f>IF(B385="","",IF(J385&lt;&gt;"Completed","Not counted",IF(H385&lt;=0,"CHECK TIME","OK")))</x:f>
      </x:c>
    </x:row>
    <x:row r="386">
      <x:c r="A386" t="str">
        <x:f>IF(B386="","",ROW()-1)</x:f>
      </x:c>
      <x:c r="B386" s="24"/>
      <x:c r="C386" t="str">
        <x:f>IF(B386="","",TEXT(B386,"mmm-yyyy"))</x:f>
      </x:c>
      <x:c r="D386" t="str">
        <x:f>IF(B386="","",TEXT(B386,"ddd"))</x:f>
      </x:c>
      <x:c r="E386" s="32"/>
      <x:c r="F386" s="32"/>
      <x:c r="G386"/>
      <x:c r="H386" s="22" t="n">
        <x:f>IF(OR(B386="",J386&lt;&gt;"Completed"),0,IF(AND(ISNUMBER(E386),ISNUMBER(F386)),ROUND(((F386-E386)+(F386&lt;E386))*24-(N(G386)/60),2),0))</x:f>
        <x:v>0</x:v>
      </x:c>
      <x:c r="I386" s="34" t="str">
        <x:f>IF(H386=0,"",H386/24)</x:f>
      </x:c>
      <x:c r="J386"/>
      <x:c r="K386" s="22" t="str">
        <x:f>IF(B386="","",START_HERE!$B$7)</x:f>
      </x:c>
      <x:c r="L386" s="22" t="str">
        <x:f>IF(B386="","",ROUND(K386-H386,2))</x:f>
      </x:c>
      <x:c r="M386"/>
      <x:c r="N386" t="str">
        <x:f>IF(B386="","",IF(J386&lt;&gt;"Completed","Not counted",IF(H386&lt;=0,"CHECK TIME","OK")))</x:f>
      </x:c>
    </x:row>
    <x:row r="387">
      <x:c r="A387" t="str">
        <x:f>IF(B387="","",ROW()-1)</x:f>
      </x:c>
      <x:c r="B387" s="24"/>
      <x:c r="C387" t="str">
        <x:f>IF(B387="","",TEXT(B387,"mmm-yyyy"))</x:f>
      </x:c>
      <x:c r="D387" t="str">
        <x:f>IF(B387="","",TEXT(B387,"ddd"))</x:f>
      </x:c>
      <x:c r="E387" s="32"/>
      <x:c r="F387" s="32"/>
      <x:c r="G387"/>
      <x:c r="H387" s="22" t="n">
        <x:f>IF(OR(B387="",J387&lt;&gt;"Completed"),0,IF(AND(ISNUMBER(E387),ISNUMBER(F387)),ROUND(((F387-E387)+(F387&lt;E387))*24-(N(G387)/60),2),0))</x:f>
        <x:v>0</x:v>
      </x:c>
      <x:c r="I387" s="34" t="str">
        <x:f>IF(H387=0,"",H387/24)</x:f>
      </x:c>
      <x:c r="J387"/>
      <x:c r="K387" s="22" t="str">
        <x:f>IF(B387="","",START_HERE!$B$7)</x:f>
      </x:c>
      <x:c r="L387" s="22" t="str">
        <x:f>IF(B387="","",ROUND(K387-H387,2))</x:f>
      </x:c>
      <x:c r="M387"/>
      <x:c r="N387" t="str">
        <x:f>IF(B387="","",IF(J387&lt;&gt;"Completed","Not counted",IF(H387&lt;=0,"CHECK TIME","OK")))</x:f>
      </x:c>
    </x:row>
    <x:row r="388">
      <x:c r="A388" t="str">
        <x:f>IF(B388="","",ROW()-1)</x:f>
      </x:c>
      <x:c r="B388" s="24"/>
      <x:c r="C388" t="str">
        <x:f>IF(B388="","",TEXT(B388,"mmm-yyyy"))</x:f>
      </x:c>
      <x:c r="D388" t="str">
        <x:f>IF(B388="","",TEXT(B388,"ddd"))</x:f>
      </x:c>
      <x:c r="E388" s="32"/>
      <x:c r="F388" s="32"/>
      <x:c r="G388"/>
      <x:c r="H388" s="22" t="n">
        <x:f>IF(OR(B388="",J388&lt;&gt;"Completed"),0,IF(AND(ISNUMBER(E388),ISNUMBER(F388)),ROUND(((F388-E388)+(F388&lt;E388))*24-(N(G388)/60),2),0))</x:f>
        <x:v>0</x:v>
      </x:c>
      <x:c r="I388" s="34" t="str">
        <x:f>IF(H388=0,"",H388/24)</x:f>
      </x:c>
      <x:c r="J388"/>
      <x:c r="K388" s="22" t="str">
        <x:f>IF(B388="","",START_HERE!$B$7)</x:f>
      </x:c>
      <x:c r="L388" s="22" t="str">
        <x:f>IF(B388="","",ROUND(K388-H388,2))</x:f>
      </x:c>
      <x:c r="M388"/>
      <x:c r="N388" t="str">
        <x:f>IF(B388="","",IF(J388&lt;&gt;"Completed","Not counted",IF(H388&lt;=0,"CHECK TIME","OK")))</x:f>
      </x:c>
    </x:row>
    <x:row r="389">
      <x:c r="A389" t="str">
        <x:f>IF(B389="","",ROW()-1)</x:f>
      </x:c>
      <x:c r="B389" s="24"/>
      <x:c r="C389" t="str">
        <x:f>IF(B389="","",TEXT(B389,"mmm-yyyy"))</x:f>
      </x:c>
      <x:c r="D389" t="str">
        <x:f>IF(B389="","",TEXT(B389,"ddd"))</x:f>
      </x:c>
      <x:c r="E389" s="32"/>
      <x:c r="F389" s="32"/>
      <x:c r="G389"/>
      <x:c r="H389" s="22" t="n">
        <x:f>IF(OR(B389="",J389&lt;&gt;"Completed"),0,IF(AND(ISNUMBER(E389),ISNUMBER(F389)),ROUND(((F389-E389)+(F389&lt;E389))*24-(N(G389)/60),2),0))</x:f>
        <x:v>0</x:v>
      </x:c>
      <x:c r="I389" s="34" t="str">
        <x:f>IF(H389=0,"",H389/24)</x:f>
      </x:c>
      <x:c r="J389"/>
      <x:c r="K389" s="22" t="str">
        <x:f>IF(B389="","",START_HERE!$B$7)</x:f>
      </x:c>
      <x:c r="L389" s="22" t="str">
        <x:f>IF(B389="","",ROUND(K389-H389,2))</x:f>
      </x:c>
      <x:c r="M389"/>
      <x:c r="N389" t="str">
        <x:f>IF(B389="","",IF(J389&lt;&gt;"Completed","Not counted",IF(H389&lt;=0,"CHECK TIME","OK")))</x:f>
      </x:c>
    </x:row>
    <x:row r="390">
      <x:c r="A390" t="str">
        <x:f>IF(B390="","",ROW()-1)</x:f>
      </x:c>
      <x:c r="B390" s="24"/>
      <x:c r="C390" t="str">
        <x:f>IF(B390="","",TEXT(B390,"mmm-yyyy"))</x:f>
      </x:c>
      <x:c r="D390" t="str">
        <x:f>IF(B390="","",TEXT(B390,"ddd"))</x:f>
      </x:c>
      <x:c r="E390" s="32"/>
      <x:c r="F390" s="32"/>
      <x:c r="G390"/>
      <x:c r="H390" s="22" t="n">
        <x:f>IF(OR(B390="",J390&lt;&gt;"Completed"),0,IF(AND(ISNUMBER(E390),ISNUMBER(F390)),ROUND(((F390-E390)+(F390&lt;E390))*24-(N(G390)/60),2),0))</x:f>
        <x:v>0</x:v>
      </x:c>
      <x:c r="I390" s="34" t="str">
        <x:f>IF(H390=0,"",H390/24)</x:f>
      </x:c>
      <x:c r="J390"/>
      <x:c r="K390" s="22" t="str">
        <x:f>IF(B390="","",START_HERE!$B$7)</x:f>
      </x:c>
      <x:c r="L390" s="22" t="str">
        <x:f>IF(B390="","",ROUND(K390-H390,2))</x:f>
      </x:c>
      <x:c r="M390"/>
      <x:c r="N390" t="str">
        <x:f>IF(B390="","",IF(J390&lt;&gt;"Completed","Not counted",IF(H390&lt;=0,"CHECK TIME","OK")))</x:f>
      </x:c>
    </x:row>
    <x:row r="391">
      <x:c r="A391" t="str">
        <x:f>IF(B391="","",ROW()-1)</x:f>
      </x:c>
      <x:c r="B391" s="24"/>
      <x:c r="C391" t="str">
        <x:f>IF(B391="","",TEXT(B391,"mmm-yyyy"))</x:f>
      </x:c>
      <x:c r="D391" t="str">
        <x:f>IF(B391="","",TEXT(B391,"ddd"))</x:f>
      </x:c>
      <x:c r="E391" s="32"/>
      <x:c r="F391" s="32"/>
      <x:c r="G391"/>
      <x:c r="H391" s="22" t="n">
        <x:f>IF(OR(B391="",J391&lt;&gt;"Completed"),0,IF(AND(ISNUMBER(E391),ISNUMBER(F391)),ROUND(((F391-E391)+(F391&lt;E391))*24-(N(G391)/60),2),0))</x:f>
        <x:v>0</x:v>
      </x:c>
      <x:c r="I391" s="34" t="str">
        <x:f>IF(H391=0,"",H391/24)</x:f>
      </x:c>
      <x:c r="J391"/>
      <x:c r="K391" s="22" t="str">
        <x:f>IF(B391="","",START_HERE!$B$7)</x:f>
      </x:c>
      <x:c r="L391" s="22" t="str">
        <x:f>IF(B391="","",ROUND(K391-H391,2))</x:f>
      </x:c>
      <x:c r="M391"/>
      <x:c r="N391" t="str">
        <x:f>IF(B391="","",IF(J391&lt;&gt;"Completed","Not counted",IF(H391&lt;=0,"CHECK TIME","OK")))</x:f>
      </x:c>
    </x:row>
    <x:row r="392">
      <x:c r="A392" t="str">
        <x:f>IF(B392="","",ROW()-1)</x:f>
      </x:c>
      <x:c r="B392" s="24"/>
      <x:c r="C392" t="str">
        <x:f>IF(B392="","",TEXT(B392,"mmm-yyyy"))</x:f>
      </x:c>
      <x:c r="D392" t="str">
        <x:f>IF(B392="","",TEXT(B392,"ddd"))</x:f>
      </x:c>
      <x:c r="E392" s="32"/>
      <x:c r="F392" s="32"/>
      <x:c r="G392"/>
      <x:c r="H392" s="22" t="n">
        <x:f>IF(OR(B392="",J392&lt;&gt;"Completed"),0,IF(AND(ISNUMBER(E392),ISNUMBER(F392)),ROUND(((F392-E392)+(F392&lt;E392))*24-(N(G392)/60),2),0))</x:f>
        <x:v>0</x:v>
      </x:c>
      <x:c r="I392" s="34" t="str">
        <x:f>IF(H392=0,"",H392/24)</x:f>
      </x:c>
      <x:c r="J392"/>
      <x:c r="K392" s="22" t="str">
        <x:f>IF(B392="","",START_HERE!$B$7)</x:f>
      </x:c>
      <x:c r="L392" s="22" t="str">
        <x:f>IF(B392="","",ROUND(K392-H392,2))</x:f>
      </x:c>
      <x:c r="M392"/>
      <x:c r="N392" t="str">
        <x:f>IF(B392="","",IF(J392&lt;&gt;"Completed","Not counted",IF(H392&lt;=0,"CHECK TIME","OK")))</x:f>
      </x:c>
    </x:row>
    <x:row r="393">
      <x:c r="A393" t="str">
        <x:f>IF(B393="","",ROW()-1)</x:f>
      </x:c>
      <x:c r="B393" s="24"/>
      <x:c r="C393" t="str">
        <x:f>IF(B393="","",TEXT(B393,"mmm-yyyy"))</x:f>
      </x:c>
      <x:c r="D393" t="str">
        <x:f>IF(B393="","",TEXT(B393,"ddd"))</x:f>
      </x:c>
      <x:c r="E393" s="32"/>
      <x:c r="F393" s="32"/>
      <x:c r="G393"/>
      <x:c r="H393" s="22" t="n">
        <x:f>IF(OR(B393="",J393&lt;&gt;"Completed"),0,IF(AND(ISNUMBER(E393),ISNUMBER(F393)),ROUND(((F393-E393)+(F393&lt;E393))*24-(N(G393)/60),2),0))</x:f>
        <x:v>0</x:v>
      </x:c>
      <x:c r="I393" s="34" t="str">
        <x:f>IF(H393=0,"",H393/24)</x:f>
      </x:c>
      <x:c r="J393"/>
      <x:c r="K393" s="22" t="str">
        <x:f>IF(B393="","",START_HERE!$B$7)</x:f>
      </x:c>
      <x:c r="L393" s="22" t="str">
        <x:f>IF(B393="","",ROUND(K393-H393,2))</x:f>
      </x:c>
      <x:c r="M393"/>
      <x:c r="N393" t="str">
        <x:f>IF(B393="","",IF(J393&lt;&gt;"Completed","Not counted",IF(H393&lt;=0,"CHECK TIME","OK")))</x:f>
      </x:c>
    </x:row>
    <x:row r="394">
      <x:c r="A394" t="str">
        <x:f>IF(B394="","",ROW()-1)</x:f>
      </x:c>
      <x:c r="B394" s="24"/>
      <x:c r="C394" t="str">
        <x:f>IF(B394="","",TEXT(B394,"mmm-yyyy"))</x:f>
      </x:c>
      <x:c r="D394" t="str">
        <x:f>IF(B394="","",TEXT(B394,"ddd"))</x:f>
      </x:c>
      <x:c r="E394" s="32"/>
      <x:c r="F394" s="32"/>
      <x:c r="G394"/>
      <x:c r="H394" s="22" t="n">
        <x:f>IF(OR(B394="",J394&lt;&gt;"Completed"),0,IF(AND(ISNUMBER(E394),ISNUMBER(F394)),ROUND(((F394-E394)+(F394&lt;E394))*24-(N(G394)/60),2),0))</x:f>
        <x:v>0</x:v>
      </x:c>
      <x:c r="I394" s="34" t="str">
        <x:f>IF(H394=0,"",H394/24)</x:f>
      </x:c>
      <x:c r="J394"/>
      <x:c r="K394" s="22" t="str">
        <x:f>IF(B394="","",START_HERE!$B$7)</x:f>
      </x:c>
      <x:c r="L394" s="22" t="str">
        <x:f>IF(B394="","",ROUND(K394-H394,2))</x:f>
      </x:c>
      <x:c r="M394"/>
      <x:c r="N394" t="str">
        <x:f>IF(B394="","",IF(J394&lt;&gt;"Completed","Not counted",IF(H394&lt;=0,"CHECK TIME","OK")))</x:f>
      </x:c>
    </x:row>
    <x:row r="395">
      <x:c r="A395" t="str">
        <x:f>IF(B395="","",ROW()-1)</x:f>
      </x:c>
      <x:c r="B395" s="24"/>
      <x:c r="C395" t="str">
        <x:f>IF(B395="","",TEXT(B395,"mmm-yyyy"))</x:f>
      </x:c>
      <x:c r="D395" t="str">
        <x:f>IF(B395="","",TEXT(B395,"ddd"))</x:f>
      </x:c>
      <x:c r="E395" s="32"/>
      <x:c r="F395" s="32"/>
      <x:c r="G395"/>
      <x:c r="H395" s="22" t="n">
        <x:f>IF(OR(B395="",J395&lt;&gt;"Completed"),0,IF(AND(ISNUMBER(E395),ISNUMBER(F395)),ROUND(((F395-E395)+(F395&lt;E395))*24-(N(G395)/60),2),0))</x:f>
        <x:v>0</x:v>
      </x:c>
      <x:c r="I395" s="34" t="str">
        <x:f>IF(H395=0,"",H395/24)</x:f>
      </x:c>
      <x:c r="J395"/>
      <x:c r="K395" s="22" t="str">
        <x:f>IF(B395="","",START_HERE!$B$7)</x:f>
      </x:c>
      <x:c r="L395" s="22" t="str">
        <x:f>IF(B395="","",ROUND(K395-H395,2))</x:f>
      </x:c>
      <x:c r="M395"/>
      <x:c r="N395" t="str">
        <x:f>IF(B395="","",IF(J395&lt;&gt;"Completed","Not counted",IF(H395&lt;=0,"CHECK TIME","OK")))</x:f>
      </x:c>
    </x:row>
    <x:row r="396">
      <x:c r="A396" t="str">
        <x:f>IF(B396="","",ROW()-1)</x:f>
      </x:c>
      <x:c r="B396" s="24"/>
      <x:c r="C396" t="str">
        <x:f>IF(B396="","",TEXT(B396,"mmm-yyyy"))</x:f>
      </x:c>
      <x:c r="D396" t="str">
        <x:f>IF(B396="","",TEXT(B396,"ddd"))</x:f>
      </x:c>
      <x:c r="E396" s="32"/>
      <x:c r="F396" s="32"/>
      <x:c r="G396"/>
      <x:c r="H396" s="22" t="n">
        <x:f>IF(OR(B396="",J396&lt;&gt;"Completed"),0,IF(AND(ISNUMBER(E396),ISNUMBER(F396)),ROUND(((F396-E396)+(F396&lt;E396))*24-(N(G396)/60),2),0))</x:f>
        <x:v>0</x:v>
      </x:c>
      <x:c r="I396" s="34" t="str">
        <x:f>IF(H396=0,"",H396/24)</x:f>
      </x:c>
      <x:c r="J396"/>
      <x:c r="K396" s="22" t="str">
        <x:f>IF(B396="","",START_HERE!$B$7)</x:f>
      </x:c>
      <x:c r="L396" s="22" t="str">
        <x:f>IF(B396="","",ROUND(K396-H396,2))</x:f>
      </x:c>
      <x:c r="M396"/>
      <x:c r="N396" t="str">
        <x:f>IF(B396="","",IF(J396&lt;&gt;"Completed","Not counted",IF(H396&lt;=0,"CHECK TIME","OK")))</x:f>
      </x:c>
    </x:row>
    <x:row r="397">
      <x:c r="A397" t="str">
        <x:f>IF(B397="","",ROW()-1)</x:f>
      </x:c>
      <x:c r="B397" s="24"/>
      <x:c r="C397" t="str">
        <x:f>IF(B397="","",TEXT(B397,"mmm-yyyy"))</x:f>
      </x:c>
      <x:c r="D397" t="str">
        <x:f>IF(B397="","",TEXT(B397,"ddd"))</x:f>
      </x:c>
      <x:c r="E397" s="32"/>
      <x:c r="F397" s="32"/>
      <x:c r="G397"/>
      <x:c r="H397" s="22" t="n">
        <x:f>IF(OR(B397="",J397&lt;&gt;"Completed"),0,IF(AND(ISNUMBER(E397),ISNUMBER(F397)),ROUND(((F397-E397)+(F397&lt;E397))*24-(N(G397)/60),2),0))</x:f>
        <x:v>0</x:v>
      </x:c>
      <x:c r="I397" s="34" t="str">
        <x:f>IF(H397=0,"",H397/24)</x:f>
      </x:c>
      <x:c r="J397"/>
      <x:c r="K397" s="22" t="str">
        <x:f>IF(B397="","",START_HERE!$B$7)</x:f>
      </x:c>
      <x:c r="L397" s="22" t="str">
        <x:f>IF(B397="","",ROUND(K397-H397,2))</x:f>
      </x:c>
      <x:c r="M397"/>
      <x:c r="N397" t="str">
        <x:f>IF(B397="","",IF(J397&lt;&gt;"Completed","Not counted",IF(H397&lt;=0,"CHECK TIME","OK")))</x:f>
      </x:c>
    </x:row>
    <x:row r="398">
      <x:c r="A398" t="str">
        <x:f>IF(B398="","",ROW()-1)</x:f>
      </x:c>
      <x:c r="B398" s="24"/>
      <x:c r="C398" t="str">
        <x:f>IF(B398="","",TEXT(B398,"mmm-yyyy"))</x:f>
      </x:c>
      <x:c r="D398" t="str">
        <x:f>IF(B398="","",TEXT(B398,"ddd"))</x:f>
      </x:c>
      <x:c r="E398" s="32"/>
      <x:c r="F398" s="32"/>
      <x:c r="G398"/>
      <x:c r="H398" s="22" t="n">
        <x:f>IF(OR(B398="",J398&lt;&gt;"Completed"),0,IF(AND(ISNUMBER(E398),ISNUMBER(F398)),ROUND(((F398-E398)+(F398&lt;E398))*24-(N(G398)/60),2),0))</x:f>
        <x:v>0</x:v>
      </x:c>
      <x:c r="I398" s="34" t="str">
        <x:f>IF(H398=0,"",H398/24)</x:f>
      </x:c>
      <x:c r="J398"/>
      <x:c r="K398" s="22" t="str">
        <x:f>IF(B398="","",START_HERE!$B$7)</x:f>
      </x:c>
      <x:c r="L398" s="22" t="str">
        <x:f>IF(B398="","",ROUND(K398-H398,2))</x:f>
      </x:c>
      <x:c r="M398"/>
      <x:c r="N398" t="str">
        <x:f>IF(B398="","",IF(J398&lt;&gt;"Completed","Not counted",IF(H398&lt;=0,"CHECK TIME","OK")))</x:f>
      </x:c>
    </x:row>
    <x:row r="399">
      <x:c r="A399" t="str">
        <x:f>IF(B399="","",ROW()-1)</x:f>
      </x:c>
      <x:c r="B399" s="24"/>
      <x:c r="C399" t="str">
        <x:f>IF(B399="","",TEXT(B399,"mmm-yyyy"))</x:f>
      </x:c>
      <x:c r="D399" t="str">
        <x:f>IF(B399="","",TEXT(B399,"ddd"))</x:f>
      </x:c>
      <x:c r="E399" s="32"/>
      <x:c r="F399" s="32"/>
      <x:c r="G399"/>
      <x:c r="H399" s="22" t="n">
        <x:f>IF(OR(B399="",J399&lt;&gt;"Completed"),0,IF(AND(ISNUMBER(E399),ISNUMBER(F399)),ROUND(((F399-E399)+(F399&lt;E399))*24-(N(G399)/60),2),0))</x:f>
        <x:v>0</x:v>
      </x:c>
      <x:c r="I399" s="34" t="str">
        <x:f>IF(H399=0,"",H399/24)</x:f>
      </x:c>
      <x:c r="J399"/>
      <x:c r="K399" s="22" t="str">
        <x:f>IF(B399="","",START_HERE!$B$7)</x:f>
      </x:c>
      <x:c r="L399" s="22" t="str">
        <x:f>IF(B399="","",ROUND(K399-H399,2))</x:f>
      </x:c>
      <x:c r="M399"/>
      <x:c r="N399" t="str">
        <x:f>IF(B399="","",IF(J399&lt;&gt;"Completed","Not counted",IF(H399&lt;=0,"CHECK TIME","OK")))</x:f>
      </x:c>
    </x:row>
    <x:row r="400">
      <x:c r="A400" t="str">
        <x:f>IF(B400="","",ROW()-1)</x:f>
      </x:c>
      <x:c r="B400" s="24"/>
      <x:c r="C400" t="str">
        <x:f>IF(B400="","",TEXT(B400,"mmm-yyyy"))</x:f>
      </x:c>
      <x:c r="D400" t="str">
        <x:f>IF(B400="","",TEXT(B400,"ddd"))</x:f>
      </x:c>
      <x:c r="E400" s="32"/>
      <x:c r="F400" s="32"/>
      <x:c r="G400"/>
      <x:c r="H400" s="22" t="n">
        <x:f>IF(OR(B400="",J400&lt;&gt;"Completed"),0,IF(AND(ISNUMBER(E400),ISNUMBER(F400)),ROUND(((F400-E400)+(F400&lt;E400))*24-(N(G400)/60),2),0))</x:f>
        <x:v>0</x:v>
      </x:c>
      <x:c r="I400" s="34" t="str">
        <x:f>IF(H400=0,"",H400/24)</x:f>
      </x:c>
      <x:c r="J400"/>
      <x:c r="K400" s="22" t="str">
        <x:f>IF(B400="","",START_HERE!$B$7)</x:f>
      </x:c>
      <x:c r="L400" s="22" t="str">
        <x:f>IF(B400="","",ROUND(K400-H400,2))</x:f>
      </x:c>
      <x:c r="M400"/>
      <x:c r="N400" t="str">
        <x:f>IF(B400="","",IF(J400&lt;&gt;"Completed","Not counted",IF(H400&lt;=0,"CHECK TIME","OK")))</x:f>
      </x:c>
    </x:row>
    <x:row r="401">
      <x:c r="A401" t="str">
        <x:f>IF(B401="","",ROW()-1)</x:f>
      </x:c>
      <x:c r="B401" s="24"/>
      <x:c r="C401" t="str">
        <x:f>IF(B401="","",TEXT(B401,"mmm-yyyy"))</x:f>
      </x:c>
      <x:c r="D401" t="str">
        <x:f>IF(B401="","",TEXT(B401,"ddd"))</x:f>
      </x:c>
      <x:c r="E401" s="32"/>
      <x:c r="F401" s="32"/>
      <x:c r="G401"/>
      <x:c r="H401" s="22" t="n">
        <x:f>IF(OR(B401="",J401&lt;&gt;"Completed"),0,IF(AND(ISNUMBER(E401),ISNUMBER(F401)),ROUND(((F401-E401)+(F401&lt;E401))*24-(N(G401)/60),2),0))</x:f>
        <x:v>0</x:v>
      </x:c>
      <x:c r="I401" s="34" t="str">
        <x:f>IF(H401=0,"",H401/24)</x:f>
      </x:c>
      <x:c r="J401"/>
      <x:c r="K401" s="22" t="str">
        <x:f>IF(B401="","",START_HERE!$B$7)</x:f>
      </x:c>
      <x:c r="L401" s="22" t="str">
        <x:f>IF(B401="","",ROUND(K401-H401,2))</x:f>
      </x:c>
      <x:c r="M401"/>
      <x:c r="N401" t="str">
        <x:f>IF(B401="","",IF(J401&lt;&gt;"Completed","Not counted",IF(H401&lt;=0,"CHECK TIME","OK")))</x:f>
      </x:c>
    </x:row>
    <x:row r="402">
      <x:c r="A402" t="str">
        <x:f>IF(B402="","",ROW()-1)</x:f>
      </x:c>
      <x:c r="B402" s="24"/>
      <x:c r="C402" t="str">
        <x:f>IF(B402="","",TEXT(B402,"mmm-yyyy"))</x:f>
      </x:c>
      <x:c r="D402" t="str">
        <x:f>IF(B402="","",TEXT(B402,"ddd"))</x:f>
      </x:c>
      <x:c r="E402" s="32"/>
      <x:c r="F402" s="32"/>
      <x:c r="G402"/>
      <x:c r="H402" s="22" t="n">
        <x:f>IF(OR(B402="",J402&lt;&gt;"Completed"),0,IF(AND(ISNUMBER(E402),ISNUMBER(F402)),ROUND(((F402-E402)+(F402&lt;E402))*24-(N(G402)/60),2),0))</x:f>
        <x:v>0</x:v>
      </x:c>
      <x:c r="I402" s="34" t="str">
        <x:f>IF(H402=0,"",H402/24)</x:f>
      </x:c>
      <x:c r="J402"/>
      <x:c r="K402" s="22" t="str">
        <x:f>IF(B402="","",START_HERE!$B$7)</x:f>
      </x:c>
      <x:c r="L402" s="22" t="str">
        <x:f>IF(B402="","",ROUND(K402-H402,2))</x:f>
      </x:c>
      <x:c r="M402"/>
      <x:c r="N402" t="str">
        <x:f>IF(B402="","",IF(J402&lt;&gt;"Completed","Not counted",IF(H402&lt;=0,"CHECK TIME","OK")))</x:f>
      </x:c>
    </x:row>
    <x:row r="403">
      <x:c r="A403" t="str">
        <x:f>IF(B403="","",ROW()-1)</x:f>
      </x:c>
      <x:c r="B403" s="24"/>
      <x:c r="C403" t="str">
        <x:f>IF(B403="","",TEXT(B403,"mmm-yyyy"))</x:f>
      </x:c>
      <x:c r="D403" t="str">
        <x:f>IF(B403="","",TEXT(B403,"ddd"))</x:f>
      </x:c>
      <x:c r="E403" s="32"/>
      <x:c r="F403" s="32"/>
      <x:c r="G403"/>
      <x:c r="H403" s="22" t="n">
        <x:f>IF(OR(B403="",J403&lt;&gt;"Completed"),0,IF(AND(ISNUMBER(E403),ISNUMBER(F403)),ROUND(((F403-E403)+(F403&lt;E403))*24-(N(G403)/60),2),0))</x:f>
        <x:v>0</x:v>
      </x:c>
      <x:c r="I403" s="34" t="str">
        <x:f>IF(H403=0,"",H403/24)</x:f>
      </x:c>
      <x:c r="J403"/>
      <x:c r="K403" s="22" t="str">
        <x:f>IF(B403="","",START_HERE!$B$7)</x:f>
      </x:c>
      <x:c r="L403" s="22" t="str">
        <x:f>IF(B403="","",ROUND(K403-H403,2))</x:f>
      </x:c>
      <x:c r="M403"/>
      <x:c r="N403" t="str">
        <x:f>IF(B403="","",IF(J403&lt;&gt;"Completed","Not counted",IF(H403&lt;=0,"CHECK TIME","OK")))</x:f>
      </x:c>
    </x:row>
    <x:row r="404">
      <x:c r="A404" t="str">
        <x:f>IF(B404="","",ROW()-1)</x:f>
      </x:c>
      <x:c r="B404" s="24"/>
      <x:c r="C404" t="str">
        <x:f>IF(B404="","",TEXT(B404,"mmm-yyyy"))</x:f>
      </x:c>
      <x:c r="D404" t="str">
        <x:f>IF(B404="","",TEXT(B404,"ddd"))</x:f>
      </x:c>
      <x:c r="E404" s="32"/>
      <x:c r="F404" s="32"/>
      <x:c r="G404"/>
      <x:c r="H404" s="22" t="n">
        <x:f>IF(OR(B404="",J404&lt;&gt;"Completed"),0,IF(AND(ISNUMBER(E404),ISNUMBER(F404)),ROUND(((F404-E404)+(F404&lt;E404))*24-(N(G404)/60),2),0))</x:f>
        <x:v>0</x:v>
      </x:c>
      <x:c r="I404" s="34" t="str">
        <x:f>IF(H404=0,"",H404/24)</x:f>
      </x:c>
      <x:c r="J404"/>
      <x:c r="K404" s="22" t="str">
        <x:f>IF(B404="","",START_HERE!$B$7)</x:f>
      </x:c>
      <x:c r="L404" s="22" t="str">
        <x:f>IF(B404="","",ROUND(K404-H404,2))</x:f>
      </x:c>
      <x:c r="M404"/>
      <x:c r="N404" t="str">
        <x:f>IF(B404="","",IF(J404&lt;&gt;"Completed","Not counted",IF(H404&lt;=0,"CHECK TIME","OK")))</x:f>
      </x:c>
    </x:row>
    <x:row r="405">
      <x:c r="A405" t="str">
        <x:f>IF(B405="","",ROW()-1)</x:f>
      </x:c>
      <x:c r="B405" s="24"/>
      <x:c r="C405" t="str">
        <x:f>IF(B405="","",TEXT(B405,"mmm-yyyy"))</x:f>
      </x:c>
      <x:c r="D405" t="str">
        <x:f>IF(B405="","",TEXT(B405,"ddd"))</x:f>
      </x:c>
      <x:c r="E405" s="32"/>
      <x:c r="F405" s="32"/>
      <x:c r="G405"/>
      <x:c r="H405" s="22" t="n">
        <x:f>IF(OR(B405="",J405&lt;&gt;"Completed"),0,IF(AND(ISNUMBER(E405),ISNUMBER(F405)),ROUND(((F405-E405)+(F405&lt;E405))*24-(N(G405)/60),2),0))</x:f>
        <x:v>0</x:v>
      </x:c>
      <x:c r="I405" s="34" t="str">
        <x:f>IF(H405=0,"",H405/24)</x:f>
      </x:c>
      <x:c r="J405"/>
      <x:c r="K405" s="22" t="str">
        <x:f>IF(B405="","",START_HERE!$B$7)</x:f>
      </x:c>
      <x:c r="L405" s="22" t="str">
        <x:f>IF(B405="","",ROUND(K405-H405,2))</x:f>
      </x:c>
      <x:c r="M405"/>
      <x:c r="N405" t="str">
        <x:f>IF(B405="","",IF(J405&lt;&gt;"Completed","Not counted",IF(H405&lt;=0,"CHECK TIME","OK")))</x:f>
      </x:c>
    </x:row>
    <x:row r="406">
      <x:c r="A406" t="str">
        <x:f>IF(B406="","",ROW()-1)</x:f>
      </x:c>
      <x:c r="B406" s="24"/>
      <x:c r="C406" t="str">
        <x:f>IF(B406="","",TEXT(B406,"mmm-yyyy"))</x:f>
      </x:c>
      <x:c r="D406" t="str">
        <x:f>IF(B406="","",TEXT(B406,"ddd"))</x:f>
      </x:c>
      <x:c r="E406" s="32"/>
      <x:c r="F406" s="32"/>
      <x:c r="G406"/>
      <x:c r="H406" s="22" t="n">
        <x:f>IF(OR(B406="",J406&lt;&gt;"Completed"),0,IF(AND(ISNUMBER(E406),ISNUMBER(F406)),ROUND(((F406-E406)+(F406&lt;E406))*24-(N(G406)/60),2),0))</x:f>
        <x:v>0</x:v>
      </x:c>
      <x:c r="I406" s="34" t="str">
        <x:f>IF(H406=0,"",H406/24)</x:f>
      </x:c>
      <x:c r="J406"/>
      <x:c r="K406" s="22" t="str">
        <x:f>IF(B406="","",START_HERE!$B$7)</x:f>
      </x:c>
      <x:c r="L406" s="22" t="str">
        <x:f>IF(B406="","",ROUND(K406-H406,2))</x:f>
      </x:c>
      <x:c r="M406"/>
      <x:c r="N406" t="str">
        <x:f>IF(B406="","",IF(J406&lt;&gt;"Completed","Not counted",IF(H406&lt;=0,"CHECK TIME","OK")))</x:f>
      </x:c>
    </x:row>
    <x:row r="407">
      <x:c r="A407" t="str">
        <x:f>IF(B407="","",ROW()-1)</x:f>
      </x:c>
      <x:c r="B407" s="24"/>
      <x:c r="C407" t="str">
        <x:f>IF(B407="","",TEXT(B407,"mmm-yyyy"))</x:f>
      </x:c>
      <x:c r="D407" t="str">
        <x:f>IF(B407="","",TEXT(B407,"ddd"))</x:f>
      </x:c>
      <x:c r="E407" s="32"/>
      <x:c r="F407" s="32"/>
      <x:c r="G407"/>
      <x:c r="H407" s="22" t="n">
        <x:f>IF(OR(B407="",J407&lt;&gt;"Completed"),0,IF(AND(ISNUMBER(E407),ISNUMBER(F407)),ROUND(((F407-E407)+(F407&lt;E407))*24-(N(G407)/60),2),0))</x:f>
        <x:v>0</x:v>
      </x:c>
      <x:c r="I407" s="34" t="str">
        <x:f>IF(H407=0,"",H407/24)</x:f>
      </x:c>
      <x:c r="J407"/>
      <x:c r="K407" s="22" t="str">
        <x:f>IF(B407="","",START_HERE!$B$7)</x:f>
      </x:c>
      <x:c r="L407" s="22" t="str">
        <x:f>IF(B407="","",ROUND(K407-H407,2))</x:f>
      </x:c>
      <x:c r="M407"/>
      <x:c r="N407" t="str">
        <x:f>IF(B407="","",IF(J407&lt;&gt;"Completed","Not counted",IF(H407&lt;=0,"CHECK TIME","OK")))</x:f>
      </x:c>
    </x:row>
    <x:row r="408">
      <x:c r="A408" t="str">
        <x:f>IF(B408="","",ROW()-1)</x:f>
      </x:c>
      <x:c r="B408" s="24"/>
      <x:c r="C408" t="str">
        <x:f>IF(B408="","",TEXT(B408,"mmm-yyyy"))</x:f>
      </x:c>
      <x:c r="D408" t="str">
        <x:f>IF(B408="","",TEXT(B408,"ddd"))</x:f>
      </x:c>
      <x:c r="E408" s="32"/>
      <x:c r="F408" s="32"/>
      <x:c r="G408"/>
      <x:c r="H408" s="22" t="n">
        <x:f>IF(OR(B408="",J408&lt;&gt;"Completed"),0,IF(AND(ISNUMBER(E408),ISNUMBER(F408)),ROUND(((F408-E408)+(F408&lt;E408))*24-(N(G408)/60),2),0))</x:f>
        <x:v>0</x:v>
      </x:c>
      <x:c r="I408" s="34" t="str">
        <x:f>IF(H408=0,"",H408/24)</x:f>
      </x:c>
      <x:c r="J408"/>
      <x:c r="K408" s="22" t="str">
        <x:f>IF(B408="","",START_HERE!$B$7)</x:f>
      </x:c>
      <x:c r="L408" s="22" t="str">
        <x:f>IF(B408="","",ROUND(K408-H408,2))</x:f>
      </x:c>
      <x:c r="M408"/>
      <x:c r="N408" t="str">
        <x:f>IF(B408="","",IF(J408&lt;&gt;"Completed","Not counted",IF(H408&lt;=0,"CHECK TIME","OK")))</x:f>
      </x:c>
    </x:row>
    <x:row r="409">
      <x:c r="A409" t="str">
        <x:f>IF(B409="","",ROW()-1)</x:f>
      </x:c>
      <x:c r="B409" s="24"/>
      <x:c r="C409" t="str">
        <x:f>IF(B409="","",TEXT(B409,"mmm-yyyy"))</x:f>
      </x:c>
      <x:c r="D409" t="str">
        <x:f>IF(B409="","",TEXT(B409,"ddd"))</x:f>
      </x:c>
      <x:c r="E409" s="32"/>
      <x:c r="F409" s="32"/>
      <x:c r="G409"/>
      <x:c r="H409" s="22" t="n">
        <x:f>IF(OR(B409="",J409&lt;&gt;"Completed"),0,IF(AND(ISNUMBER(E409),ISNUMBER(F409)),ROUND(((F409-E409)+(F409&lt;E409))*24-(N(G409)/60),2),0))</x:f>
        <x:v>0</x:v>
      </x:c>
      <x:c r="I409" s="34" t="str">
        <x:f>IF(H409=0,"",H409/24)</x:f>
      </x:c>
      <x:c r="J409"/>
      <x:c r="K409" s="22" t="str">
        <x:f>IF(B409="","",START_HERE!$B$7)</x:f>
      </x:c>
      <x:c r="L409" s="22" t="str">
        <x:f>IF(B409="","",ROUND(K409-H409,2))</x:f>
      </x:c>
      <x:c r="M409"/>
      <x:c r="N409" t="str">
        <x:f>IF(B409="","",IF(J409&lt;&gt;"Completed","Not counted",IF(H409&lt;=0,"CHECK TIME","OK")))</x:f>
      </x:c>
    </x:row>
    <x:row r="410">
      <x:c r="A410" t="str">
        <x:f>IF(B410="","",ROW()-1)</x:f>
      </x:c>
      <x:c r="B410" s="24"/>
      <x:c r="C410" t="str">
        <x:f>IF(B410="","",TEXT(B410,"mmm-yyyy"))</x:f>
      </x:c>
      <x:c r="D410" t="str">
        <x:f>IF(B410="","",TEXT(B410,"ddd"))</x:f>
      </x:c>
      <x:c r="E410" s="32"/>
      <x:c r="F410" s="32"/>
      <x:c r="G410"/>
      <x:c r="H410" s="22" t="n">
        <x:f>IF(OR(B410="",J410&lt;&gt;"Completed"),0,IF(AND(ISNUMBER(E410),ISNUMBER(F410)),ROUND(((F410-E410)+(F410&lt;E410))*24-(N(G410)/60),2),0))</x:f>
        <x:v>0</x:v>
      </x:c>
      <x:c r="I410" s="34" t="str">
        <x:f>IF(H410=0,"",H410/24)</x:f>
      </x:c>
      <x:c r="J410"/>
      <x:c r="K410" s="22" t="str">
        <x:f>IF(B410="","",START_HERE!$B$7)</x:f>
      </x:c>
      <x:c r="L410" s="22" t="str">
        <x:f>IF(B410="","",ROUND(K410-H410,2))</x:f>
      </x:c>
      <x:c r="M410"/>
      <x:c r="N410" t="str">
        <x:f>IF(B410="","",IF(J410&lt;&gt;"Completed","Not counted",IF(H410&lt;=0,"CHECK TIME","OK")))</x:f>
      </x:c>
    </x:row>
    <x:row r="411">
      <x:c r="A411" t="str">
        <x:f>IF(B411="","",ROW()-1)</x:f>
      </x:c>
      <x:c r="B411" s="24"/>
      <x:c r="C411" t="str">
        <x:f>IF(B411="","",TEXT(B411,"mmm-yyyy"))</x:f>
      </x:c>
      <x:c r="D411" t="str">
        <x:f>IF(B411="","",TEXT(B411,"ddd"))</x:f>
      </x:c>
      <x:c r="E411" s="32"/>
      <x:c r="F411" s="32"/>
      <x:c r="G411"/>
      <x:c r="H411" s="22" t="n">
        <x:f>IF(OR(B411="",J411&lt;&gt;"Completed"),0,IF(AND(ISNUMBER(E411),ISNUMBER(F411)),ROUND(((F411-E411)+(F411&lt;E411))*24-(N(G411)/60),2),0))</x:f>
        <x:v>0</x:v>
      </x:c>
      <x:c r="I411" s="34" t="str">
        <x:f>IF(H411=0,"",H411/24)</x:f>
      </x:c>
      <x:c r="J411"/>
      <x:c r="K411" s="22" t="str">
        <x:f>IF(B411="","",START_HERE!$B$7)</x:f>
      </x:c>
      <x:c r="L411" s="22" t="str">
        <x:f>IF(B411="","",ROUND(K411-H411,2))</x:f>
      </x:c>
      <x:c r="M411"/>
      <x:c r="N411" t="str">
        <x:f>IF(B411="","",IF(J411&lt;&gt;"Completed","Not counted",IF(H411&lt;=0,"CHECK TIME","OK")))</x:f>
      </x:c>
    </x:row>
    <x:row r="412">
      <x:c r="A412" t="str">
        <x:f>IF(B412="","",ROW()-1)</x:f>
      </x:c>
      <x:c r="B412" s="24"/>
      <x:c r="C412" t="str">
        <x:f>IF(B412="","",TEXT(B412,"mmm-yyyy"))</x:f>
      </x:c>
      <x:c r="D412" t="str">
        <x:f>IF(B412="","",TEXT(B412,"ddd"))</x:f>
      </x:c>
      <x:c r="E412" s="32"/>
      <x:c r="F412" s="32"/>
      <x:c r="G412"/>
      <x:c r="H412" s="22" t="n">
        <x:f>IF(OR(B412="",J412&lt;&gt;"Completed"),0,IF(AND(ISNUMBER(E412),ISNUMBER(F412)),ROUND(((F412-E412)+(F412&lt;E412))*24-(N(G412)/60),2),0))</x:f>
        <x:v>0</x:v>
      </x:c>
      <x:c r="I412" s="34" t="str">
        <x:f>IF(H412=0,"",H412/24)</x:f>
      </x:c>
      <x:c r="J412"/>
      <x:c r="K412" s="22" t="str">
        <x:f>IF(B412="","",START_HERE!$B$7)</x:f>
      </x:c>
      <x:c r="L412" s="22" t="str">
        <x:f>IF(B412="","",ROUND(K412-H412,2))</x:f>
      </x:c>
      <x:c r="M412"/>
      <x:c r="N412" t="str">
        <x:f>IF(B412="","",IF(J412&lt;&gt;"Completed","Not counted",IF(H412&lt;=0,"CHECK TIME","OK")))</x:f>
      </x:c>
    </x:row>
    <x:row r="413">
      <x:c r="A413" t="str">
        <x:f>IF(B413="","",ROW()-1)</x:f>
      </x:c>
      <x:c r="B413" s="24"/>
      <x:c r="C413" t="str">
        <x:f>IF(B413="","",TEXT(B413,"mmm-yyyy"))</x:f>
      </x:c>
      <x:c r="D413" t="str">
        <x:f>IF(B413="","",TEXT(B413,"ddd"))</x:f>
      </x:c>
      <x:c r="E413" s="32"/>
      <x:c r="F413" s="32"/>
      <x:c r="G413"/>
      <x:c r="H413" s="22" t="n">
        <x:f>IF(OR(B413="",J413&lt;&gt;"Completed"),0,IF(AND(ISNUMBER(E413),ISNUMBER(F413)),ROUND(((F413-E413)+(F413&lt;E413))*24-(N(G413)/60),2),0))</x:f>
        <x:v>0</x:v>
      </x:c>
      <x:c r="I413" s="34" t="str">
        <x:f>IF(H413=0,"",H413/24)</x:f>
      </x:c>
      <x:c r="J413"/>
      <x:c r="K413" s="22" t="str">
        <x:f>IF(B413="","",START_HERE!$B$7)</x:f>
      </x:c>
      <x:c r="L413" s="22" t="str">
        <x:f>IF(B413="","",ROUND(K413-H413,2))</x:f>
      </x:c>
      <x:c r="M413"/>
      <x:c r="N413" t="str">
        <x:f>IF(B413="","",IF(J413&lt;&gt;"Completed","Not counted",IF(H413&lt;=0,"CHECK TIME","OK")))</x:f>
      </x:c>
    </x:row>
    <x:row r="414">
      <x:c r="A414" t="str">
        <x:f>IF(B414="","",ROW()-1)</x:f>
      </x:c>
      <x:c r="B414" s="24"/>
      <x:c r="C414" t="str">
        <x:f>IF(B414="","",TEXT(B414,"mmm-yyyy"))</x:f>
      </x:c>
      <x:c r="D414" t="str">
        <x:f>IF(B414="","",TEXT(B414,"ddd"))</x:f>
      </x:c>
      <x:c r="E414" s="32"/>
      <x:c r="F414" s="32"/>
      <x:c r="G414"/>
      <x:c r="H414" s="22" t="n">
        <x:f>IF(OR(B414="",J414&lt;&gt;"Completed"),0,IF(AND(ISNUMBER(E414),ISNUMBER(F414)),ROUND(((F414-E414)+(F414&lt;E414))*24-(N(G414)/60),2),0))</x:f>
        <x:v>0</x:v>
      </x:c>
      <x:c r="I414" s="34" t="str">
        <x:f>IF(H414=0,"",H414/24)</x:f>
      </x:c>
      <x:c r="J414"/>
      <x:c r="K414" s="22" t="str">
        <x:f>IF(B414="","",START_HERE!$B$7)</x:f>
      </x:c>
      <x:c r="L414" s="22" t="str">
        <x:f>IF(B414="","",ROUND(K414-H414,2))</x:f>
      </x:c>
      <x:c r="M414"/>
      <x:c r="N414" t="str">
        <x:f>IF(B414="","",IF(J414&lt;&gt;"Completed","Not counted",IF(H414&lt;=0,"CHECK TIME","OK")))</x:f>
      </x:c>
    </x:row>
    <x:row r="415">
      <x:c r="A415" t="str">
        <x:f>IF(B415="","",ROW()-1)</x:f>
      </x:c>
      <x:c r="B415" s="24"/>
      <x:c r="C415" t="str">
        <x:f>IF(B415="","",TEXT(B415,"mmm-yyyy"))</x:f>
      </x:c>
      <x:c r="D415" t="str">
        <x:f>IF(B415="","",TEXT(B415,"ddd"))</x:f>
      </x:c>
      <x:c r="E415" s="32"/>
      <x:c r="F415" s="32"/>
      <x:c r="G415"/>
      <x:c r="H415" s="22" t="n">
        <x:f>IF(OR(B415="",J415&lt;&gt;"Completed"),0,IF(AND(ISNUMBER(E415),ISNUMBER(F415)),ROUND(((F415-E415)+(F415&lt;E415))*24-(N(G415)/60),2),0))</x:f>
        <x:v>0</x:v>
      </x:c>
      <x:c r="I415" s="34" t="str">
        <x:f>IF(H415=0,"",H415/24)</x:f>
      </x:c>
      <x:c r="J415"/>
      <x:c r="K415" s="22" t="str">
        <x:f>IF(B415="","",START_HERE!$B$7)</x:f>
      </x:c>
      <x:c r="L415" s="22" t="str">
        <x:f>IF(B415="","",ROUND(K415-H415,2))</x:f>
      </x:c>
      <x:c r="M415"/>
      <x:c r="N415" t="str">
        <x:f>IF(B415="","",IF(J415&lt;&gt;"Completed","Not counted",IF(H415&lt;=0,"CHECK TIME","OK")))</x:f>
      </x:c>
    </x:row>
    <x:row r="416">
      <x:c r="A416" t="str">
        <x:f>IF(B416="","",ROW()-1)</x:f>
      </x:c>
      <x:c r="B416" s="24"/>
      <x:c r="C416" t="str">
        <x:f>IF(B416="","",TEXT(B416,"mmm-yyyy"))</x:f>
      </x:c>
      <x:c r="D416" t="str">
        <x:f>IF(B416="","",TEXT(B416,"ddd"))</x:f>
      </x:c>
      <x:c r="E416" s="32"/>
      <x:c r="F416" s="32"/>
      <x:c r="G416"/>
      <x:c r="H416" s="22" t="n">
        <x:f>IF(OR(B416="",J416&lt;&gt;"Completed"),0,IF(AND(ISNUMBER(E416),ISNUMBER(F416)),ROUND(((F416-E416)+(F416&lt;E416))*24-(N(G416)/60),2),0))</x:f>
        <x:v>0</x:v>
      </x:c>
      <x:c r="I416" s="34" t="str">
        <x:f>IF(H416=0,"",H416/24)</x:f>
      </x:c>
      <x:c r="J416"/>
      <x:c r="K416" s="22" t="str">
        <x:f>IF(B416="","",START_HERE!$B$7)</x:f>
      </x:c>
      <x:c r="L416" s="22" t="str">
        <x:f>IF(B416="","",ROUND(K416-H416,2))</x:f>
      </x:c>
      <x:c r="M416"/>
      <x:c r="N416" t="str">
        <x:f>IF(B416="","",IF(J416&lt;&gt;"Completed","Not counted",IF(H416&lt;=0,"CHECK TIME","OK")))</x:f>
      </x:c>
    </x:row>
    <x:row r="417">
      <x:c r="A417" t="str">
        <x:f>IF(B417="","",ROW()-1)</x:f>
      </x:c>
      <x:c r="B417" s="24"/>
      <x:c r="C417" t="str">
        <x:f>IF(B417="","",TEXT(B417,"mmm-yyyy"))</x:f>
      </x:c>
      <x:c r="D417" t="str">
        <x:f>IF(B417="","",TEXT(B417,"ddd"))</x:f>
      </x:c>
      <x:c r="E417" s="32"/>
      <x:c r="F417" s="32"/>
      <x:c r="G417"/>
      <x:c r="H417" s="22" t="n">
        <x:f>IF(OR(B417="",J417&lt;&gt;"Completed"),0,IF(AND(ISNUMBER(E417),ISNUMBER(F417)),ROUND(((F417-E417)+(F417&lt;E417))*24-(N(G417)/60),2),0))</x:f>
        <x:v>0</x:v>
      </x:c>
      <x:c r="I417" s="34" t="str">
        <x:f>IF(H417=0,"",H417/24)</x:f>
      </x:c>
      <x:c r="J417"/>
      <x:c r="K417" s="22" t="str">
        <x:f>IF(B417="","",START_HERE!$B$7)</x:f>
      </x:c>
      <x:c r="L417" s="22" t="str">
        <x:f>IF(B417="","",ROUND(K417-H417,2))</x:f>
      </x:c>
      <x:c r="M417"/>
      <x:c r="N417" t="str">
        <x:f>IF(B417="","",IF(J417&lt;&gt;"Completed","Not counted",IF(H417&lt;=0,"CHECK TIME","OK")))</x:f>
      </x:c>
    </x:row>
    <x:row r="418">
      <x:c r="A418" t="str">
        <x:f>IF(B418="","",ROW()-1)</x:f>
      </x:c>
      <x:c r="B418" s="24"/>
      <x:c r="C418" t="str">
        <x:f>IF(B418="","",TEXT(B418,"mmm-yyyy"))</x:f>
      </x:c>
      <x:c r="D418" t="str">
        <x:f>IF(B418="","",TEXT(B418,"ddd"))</x:f>
      </x:c>
      <x:c r="E418" s="32"/>
      <x:c r="F418" s="32"/>
      <x:c r="G418"/>
      <x:c r="H418" s="22" t="n">
        <x:f>IF(OR(B418="",J418&lt;&gt;"Completed"),0,IF(AND(ISNUMBER(E418),ISNUMBER(F418)),ROUND(((F418-E418)+(F418&lt;E418))*24-(N(G418)/60),2),0))</x:f>
        <x:v>0</x:v>
      </x:c>
      <x:c r="I418" s="34" t="str">
        <x:f>IF(H418=0,"",H418/24)</x:f>
      </x:c>
      <x:c r="J418"/>
      <x:c r="K418" s="22" t="str">
        <x:f>IF(B418="","",START_HERE!$B$7)</x:f>
      </x:c>
      <x:c r="L418" s="22" t="str">
        <x:f>IF(B418="","",ROUND(K418-H418,2))</x:f>
      </x:c>
      <x:c r="M418"/>
      <x:c r="N418" t="str">
        <x:f>IF(B418="","",IF(J418&lt;&gt;"Completed","Not counted",IF(H418&lt;=0,"CHECK TIME","OK")))</x:f>
      </x:c>
    </x:row>
    <x:row r="419">
      <x:c r="A419" t="str">
        <x:f>IF(B419="","",ROW()-1)</x:f>
      </x:c>
      <x:c r="B419" s="24"/>
      <x:c r="C419" t="str">
        <x:f>IF(B419="","",TEXT(B419,"mmm-yyyy"))</x:f>
      </x:c>
      <x:c r="D419" t="str">
        <x:f>IF(B419="","",TEXT(B419,"ddd"))</x:f>
      </x:c>
      <x:c r="E419" s="32"/>
      <x:c r="F419" s="32"/>
      <x:c r="G419"/>
      <x:c r="H419" s="22" t="n">
        <x:f>IF(OR(B419="",J419&lt;&gt;"Completed"),0,IF(AND(ISNUMBER(E419),ISNUMBER(F419)),ROUND(((F419-E419)+(F419&lt;E419))*24-(N(G419)/60),2),0))</x:f>
        <x:v>0</x:v>
      </x:c>
      <x:c r="I419" s="34" t="str">
        <x:f>IF(H419=0,"",H419/24)</x:f>
      </x:c>
      <x:c r="J419"/>
      <x:c r="K419" s="22" t="str">
        <x:f>IF(B419="","",START_HERE!$B$7)</x:f>
      </x:c>
      <x:c r="L419" s="22" t="str">
        <x:f>IF(B419="","",ROUND(K419-H419,2))</x:f>
      </x:c>
      <x:c r="M419"/>
      <x:c r="N419" t="str">
        <x:f>IF(B419="","",IF(J419&lt;&gt;"Completed","Not counted",IF(H419&lt;=0,"CHECK TIME","OK")))</x:f>
      </x:c>
    </x:row>
    <x:row r="420">
      <x:c r="A420" t="str">
        <x:f>IF(B420="","",ROW()-1)</x:f>
      </x:c>
      <x:c r="B420" s="24"/>
      <x:c r="C420" t="str">
        <x:f>IF(B420="","",TEXT(B420,"mmm-yyyy"))</x:f>
      </x:c>
      <x:c r="D420" t="str">
        <x:f>IF(B420="","",TEXT(B420,"ddd"))</x:f>
      </x:c>
      <x:c r="E420" s="32"/>
      <x:c r="F420" s="32"/>
      <x:c r="G420"/>
      <x:c r="H420" s="22" t="n">
        <x:f>IF(OR(B420="",J420&lt;&gt;"Completed"),0,IF(AND(ISNUMBER(E420),ISNUMBER(F420)),ROUND(((F420-E420)+(F420&lt;E420))*24-(N(G420)/60),2),0))</x:f>
        <x:v>0</x:v>
      </x:c>
      <x:c r="I420" s="34" t="str">
        <x:f>IF(H420=0,"",H420/24)</x:f>
      </x:c>
      <x:c r="J420"/>
      <x:c r="K420" s="22" t="str">
        <x:f>IF(B420="","",START_HERE!$B$7)</x:f>
      </x:c>
      <x:c r="L420" s="22" t="str">
        <x:f>IF(B420="","",ROUND(K420-H420,2))</x:f>
      </x:c>
      <x:c r="M420"/>
      <x:c r="N420" t="str">
        <x:f>IF(B420="","",IF(J420&lt;&gt;"Completed","Not counted",IF(H420&lt;=0,"CHECK TIME","OK")))</x:f>
      </x:c>
    </x:row>
    <x:row r="421">
      <x:c r="A421" t="str">
        <x:f>IF(B421="","",ROW()-1)</x:f>
      </x:c>
      <x:c r="B421" s="24"/>
      <x:c r="C421" t="str">
        <x:f>IF(B421="","",TEXT(B421,"mmm-yyyy"))</x:f>
      </x:c>
      <x:c r="D421" t="str">
        <x:f>IF(B421="","",TEXT(B421,"ddd"))</x:f>
      </x:c>
      <x:c r="E421" s="32"/>
      <x:c r="F421" s="32"/>
      <x:c r="G421"/>
      <x:c r="H421" s="22" t="n">
        <x:f>IF(OR(B421="",J421&lt;&gt;"Completed"),0,IF(AND(ISNUMBER(E421),ISNUMBER(F421)),ROUND(((F421-E421)+(F421&lt;E421))*24-(N(G421)/60),2),0))</x:f>
        <x:v>0</x:v>
      </x:c>
      <x:c r="I421" s="34" t="str">
        <x:f>IF(H421=0,"",H421/24)</x:f>
      </x:c>
      <x:c r="J421"/>
      <x:c r="K421" s="22" t="str">
        <x:f>IF(B421="","",START_HERE!$B$7)</x:f>
      </x:c>
      <x:c r="L421" s="22" t="str">
        <x:f>IF(B421="","",ROUND(K421-H421,2))</x:f>
      </x:c>
      <x:c r="M421"/>
      <x:c r="N421" t="str">
        <x:f>IF(B421="","",IF(J421&lt;&gt;"Completed","Not counted",IF(H421&lt;=0,"CHECK TIME","OK")))</x:f>
      </x:c>
    </x:row>
    <x:row r="422">
      <x:c r="A422" t="str">
        <x:f>IF(B422="","",ROW()-1)</x:f>
      </x:c>
      <x:c r="B422" s="24"/>
      <x:c r="C422" t="str">
        <x:f>IF(B422="","",TEXT(B422,"mmm-yyyy"))</x:f>
      </x:c>
      <x:c r="D422" t="str">
        <x:f>IF(B422="","",TEXT(B422,"ddd"))</x:f>
      </x:c>
      <x:c r="E422" s="32"/>
      <x:c r="F422" s="32"/>
      <x:c r="G422"/>
      <x:c r="H422" s="22" t="n">
        <x:f>IF(OR(B422="",J422&lt;&gt;"Completed"),0,IF(AND(ISNUMBER(E422),ISNUMBER(F422)),ROUND(((F422-E422)+(F422&lt;E422))*24-(N(G422)/60),2),0))</x:f>
        <x:v>0</x:v>
      </x:c>
      <x:c r="I422" s="34" t="str">
        <x:f>IF(H422=0,"",H422/24)</x:f>
      </x:c>
      <x:c r="J422"/>
      <x:c r="K422" s="22" t="str">
        <x:f>IF(B422="","",START_HERE!$B$7)</x:f>
      </x:c>
      <x:c r="L422" s="22" t="str">
        <x:f>IF(B422="","",ROUND(K422-H422,2))</x:f>
      </x:c>
      <x:c r="M422"/>
      <x:c r="N422" t="str">
        <x:f>IF(B422="","",IF(J422&lt;&gt;"Completed","Not counted",IF(H422&lt;=0,"CHECK TIME","OK")))</x:f>
      </x:c>
    </x:row>
    <x:row r="423">
      <x:c r="A423" t="str">
        <x:f>IF(B423="","",ROW()-1)</x:f>
      </x:c>
      <x:c r="B423" s="24"/>
      <x:c r="C423" t="str">
        <x:f>IF(B423="","",TEXT(B423,"mmm-yyyy"))</x:f>
      </x:c>
      <x:c r="D423" t="str">
        <x:f>IF(B423="","",TEXT(B423,"ddd"))</x:f>
      </x:c>
      <x:c r="E423" s="32"/>
      <x:c r="F423" s="32"/>
      <x:c r="G423"/>
      <x:c r="H423" s="22" t="n">
        <x:f>IF(OR(B423="",J423&lt;&gt;"Completed"),0,IF(AND(ISNUMBER(E423),ISNUMBER(F423)),ROUND(((F423-E423)+(F423&lt;E423))*24-(N(G423)/60),2),0))</x:f>
        <x:v>0</x:v>
      </x:c>
      <x:c r="I423" s="34" t="str">
        <x:f>IF(H423=0,"",H423/24)</x:f>
      </x:c>
      <x:c r="J423"/>
      <x:c r="K423" s="22" t="str">
        <x:f>IF(B423="","",START_HERE!$B$7)</x:f>
      </x:c>
      <x:c r="L423" s="22" t="str">
        <x:f>IF(B423="","",ROUND(K423-H423,2))</x:f>
      </x:c>
      <x:c r="M423"/>
      <x:c r="N423" t="str">
        <x:f>IF(B423="","",IF(J423&lt;&gt;"Completed","Not counted",IF(H423&lt;=0,"CHECK TIME","OK")))</x:f>
      </x:c>
    </x:row>
    <x:row r="424">
      <x:c r="A424" t="str">
        <x:f>IF(B424="","",ROW()-1)</x:f>
      </x:c>
      <x:c r="B424" s="24"/>
      <x:c r="C424" t="str">
        <x:f>IF(B424="","",TEXT(B424,"mmm-yyyy"))</x:f>
      </x:c>
      <x:c r="D424" t="str">
        <x:f>IF(B424="","",TEXT(B424,"ddd"))</x:f>
      </x:c>
      <x:c r="E424" s="32"/>
      <x:c r="F424" s="32"/>
      <x:c r="G424"/>
      <x:c r="H424" s="22" t="n">
        <x:f>IF(OR(B424="",J424&lt;&gt;"Completed"),0,IF(AND(ISNUMBER(E424),ISNUMBER(F424)),ROUND(((F424-E424)+(F424&lt;E424))*24-(N(G424)/60),2),0))</x:f>
        <x:v>0</x:v>
      </x:c>
      <x:c r="I424" s="34" t="str">
        <x:f>IF(H424=0,"",H424/24)</x:f>
      </x:c>
      <x:c r="J424"/>
      <x:c r="K424" s="22" t="str">
        <x:f>IF(B424="","",START_HERE!$B$7)</x:f>
      </x:c>
      <x:c r="L424" s="22" t="str">
        <x:f>IF(B424="","",ROUND(K424-H424,2))</x:f>
      </x:c>
      <x:c r="M424"/>
      <x:c r="N424" t="str">
        <x:f>IF(B424="","",IF(J424&lt;&gt;"Completed","Not counted",IF(H424&lt;=0,"CHECK TIME","OK")))</x:f>
      </x:c>
    </x:row>
    <x:row r="425">
      <x:c r="A425" t="str">
        <x:f>IF(B425="","",ROW()-1)</x:f>
      </x:c>
      <x:c r="B425" s="24"/>
      <x:c r="C425" t="str">
        <x:f>IF(B425="","",TEXT(B425,"mmm-yyyy"))</x:f>
      </x:c>
      <x:c r="D425" t="str">
        <x:f>IF(B425="","",TEXT(B425,"ddd"))</x:f>
      </x:c>
      <x:c r="E425" s="32"/>
      <x:c r="F425" s="32"/>
      <x:c r="G425"/>
      <x:c r="H425" s="22" t="n">
        <x:f>IF(OR(B425="",J425&lt;&gt;"Completed"),0,IF(AND(ISNUMBER(E425),ISNUMBER(F425)),ROUND(((F425-E425)+(F425&lt;E425))*24-(N(G425)/60),2),0))</x:f>
        <x:v>0</x:v>
      </x:c>
      <x:c r="I425" s="34" t="str">
        <x:f>IF(H425=0,"",H425/24)</x:f>
      </x:c>
      <x:c r="J425"/>
      <x:c r="K425" s="22" t="str">
        <x:f>IF(B425="","",START_HERE!$B$7)</x:f>
      </x:c>
      <x:c r="L425" s="22" t="str">
        <x:f>IF(B425="","",ROUND(K425-H425,2))</x:f>
      </x:c>
      <x:c r="M425"/>
      <x:c r="N425" t="str">
        <x:f>IF(B425="","",IF(J425&lt;&gt;"Completed","Not counted",IF(H425&lt;=0,"CHECK TIME","OK")))</x:f>
      </x:c>
    </x:row>
    <x:row r="426">
      <x:c r="A426" t="str">
        <x:f>IF(B426="","",ROW()-1)</x:f>
      </x:c>
      <x:c r="B426" s="24"/>
      <x:c r="C426" t="str">
        <x:f>IF(B426="","",TEXT(B426,"mmm-yyyy"))</x:f>
      </x:c>
      <x:c r="D426" t="str">
        <x:f>IF(B426="","",TEXT(B426,"ddd"))</x:f>
      </x:c>
      <x:c r="E426" s="32"/>
      <x:c r="F426" s="32"/>
      <x:c r="G426"/>
      <x:c r="H426" s="22" t="n">
        <x:f>IF(OR(B426="",J426&lt;&gt;"Completed"),0,IF(AND(ISNUMBER(E426),ISNUMBER(F426)),ROUND(((F426-E426)+(F426&lt;E426))*24-(N(G426)/60),2),0))</x:f>
        <x:v>0</x:v>
      </x:c>
      <x:c r="I426" s="34" t="str">
        <x:f>IF(H426=0,"",H426/24)</x:f>
      </x:c>
      <x:c r="J426"/>
      <x:c r="K426" s="22" t="str">
        <x:f>IF(B426="","",START_HERE!$B$7)</x:f>
      </x:c>
      <x:c r="L426" s="22" t="str">
        <x:f>IF(B426="","",ROUND(K426-H426,2))</x:f>
      </x:c>
      <x:c r="M426"/>
      <x:c r="N426" t="str">
        <x:f>IF(B426="","",IF(J426&lt;&gt;"Completed","Not counted",IF(H426&lt;=0,"CHECK TIME","OK")))</x:f>
      </x:c>
    </x:row>
    <x:row r="427">
      <x:c r="A427" t="str">
        <x:f>IF(B427="","",ROW()-1)</x:f>
      </x:c>
      <x:c r="B427" s="24"/>
      <x:c r="C427" t="str">
        <x:f>IF(B427="","",TEXT(B427,"mmm-yyyy"))</x:f>
      </x:c>
      <x:c r="D427" t="str">
        <x:f>IF(B427="","",TEXT(B427,"ddd"))</x:f>
      </x:c>
      <x:c r="E427" s="32"/>
      <x:c r="F427" s="32"/>
      <x:c r="G427"/>
      <x:c r="H427" s="22" t="n">
        <x:f>IF(OR(B427="",J427&lt;&gt;"Completed"),0,IF(AND(ISNUMBER(E427),ISNUMBER(F427)),ROUND(((F427-E427)+(F427&lt;E427))*24-(N(G427)/60),2),0))</x:f>
        <x:v>0</x:v>
      </x:c>
      <x:c r="I427" s="34" t="str">
        <x:f>IF(H427=0,"",H427/24)</x:f>
      </x:c>
      <x:c r="J427"/>
      <x:c r="K427" s="22" t="str">
        <x:f>IF(B427="","",START_HERE!$B$7)</x:f>
      </x:c>
      <x:c r="L427" s="22" t="str">
        <x:f>IF(B427="","",ROUND(K427-H427,2))</x:f>
      </x:c>
      <x:c r="M427"/>
      <x:c r="N427" t="str">
        <x:f>IF(B427="","",IF(J427&lt;&gt;"Completed","Not counted",IF(H427&lt;=0,"CHECK TIME","OK")))</x:f>
      </x:c>
    </x:row>
    <x:row r="428">
      <x:c r="A428" t="str">
        <x:f>IF(B428="","",ROW()-1)</x:f>
      </x:c>
      <x:c r="B428" s="24"/>
      <x:c r="C428" t="str">
        <x:f>IF(B428="","",TEXT(B428,"mmm-yyyy"))</x:f>
      </x:c>
      <x:c r="D428" t="str">
        <x:f>IF(B428="","",TEXT(B428,"ddd"))</x:f>
      </x:c>
      <x:c r="E428" s="32"/>
      <x:c r="F428" s="32"/>
      <x:c r="G428"/>
      <x:c r="H428" s="22" t="n">
        <x:f>IF(OR(B428="",J428&lt;&gt;"Completed"),0,IF(AND(ISNUMBER(E428),ISNUMBER(F428)),ROUND(((F428-E428)+(F428&lt;E428))*24-(N(G428)/60),2),0))</x:f>
        <x:v>0</x:v>
      </x:c>
      <x:c r="I428" s="34" t="str">
        <x:f>IF(H428=0,"",H428/24)</x:f>
      </x:c>
      <x:c r="J428"/>
      <x:c r="K428" s="22" t="str">
        <x:f>IF(B428="","",START_HERE!$B$7)</x:f>
      </x:c>
      <x:c r="L428" s="22" t="str">
        <x:f>IF(B428="","",ROUND(K428-H428,2))</x:f>
      </x:c>
      <x:c r="M428"/>
      <x:c r="N428" t="str">
        <x:f>IF(B428="","",IF(J428&lt;&gt;"Completed","Not counted",IF(H428&lt;=0,"CHECK TIME","OK")))</x:f>
      </x:c>
    </x:row>
    <x:row r="429">
      <x:c r="A429" t="str">
        <x:f>IF(B429="","",ROW()-1)</x:f>
      </x:c>
      <x:c r="B429" s="24"/>
      <x:c r="C429" t="str">
        <x:f>IF(B429="","",TEXT(B429,"mmm-yyyy"))</x:f>
      </x:c>
      <x:c r="D429" t="str">
        <x:f>IF(B429="","",TEXT(B429,"ddd"))</x:f>
      </x:c>
      <x:c r="E429" s="32"/>
      <x:c r="F429" s="32"/>
      <x:c r="G429"/>
      <x:c r="H429" s="22" t="n">
        <x:f>IF(OR(B429="",J429&lt;&gt;"Completed"),0,IF(AND(ISNUMBER(E429),ISNUMBER(F429)),ROUND(((F429-E429)+(F429&lt;E429))*24-(N(G429)/60),2),0))</x:f>
        <x:v>0</x:v>
      </x:c>
      <x:c r="I429" s="34" t="str">
        <x:f>IF(H429=0,"",H429/24)</x:f>
      </x:c>
      <x:c r="J429"/>
      <x:c r="K429" s="22" t="str">
        <x:f>IF(B429="","",START_HERE!$B$7)</x:f>
      </x:c>
      <x:c r="L429" s="22" t="str">
        <x:f>IF(B429="","",ROUND(K429-H429,2))</x:f>
      </x:c>
      <x:c r="M429"/>
      <x:c r="N429" t="str">
        <x:f>IF(B429="","",IF(J429&lt;&gt;"Completed","Not counted",IF(H429&lt;=0,"CHECK TIME","OK")))</x:f>
      </x:c>
    </x:row>
    <x:row r="430">
      <x:c r="A430" t="str">
        <x:f>IF(B430="","",ROW()-1)</x:f>
      </x:c>
      <x:c r="B430" s="24"/>
      <x:c r="C430" t="str">
        <x:f>IF(B430="","",TEXT(B430,"mmm-yyyy"))</x:f>
      </x:c>
      <x:c r="D430" t="str">
        <x:f>IF(B430="","",TEXT(B430,"ddd"))</x:f>
      </x:c>
      <x:c r="E430" s="32"/>
      <x:c r="F430" s="32"/>
      <x:c r="G430"/>
      <x:c r="H430" s="22" t="n">
        <x:f>IF(OR(B430="",J430&lt;&gt;"Completed"),0,IF(AND(ISNUMBER(E430),ISNUMBER(F430)),ROUND(((F430-E430)+(F430&lt;E430))*24-(N(G430)/60),2),0))</x:f>
        <x:v>0</x:v>
      </x:c>
      <x:c r="I430" s="34" t="str">
        <x:f>IF(H430=0,"",H430/24)</x:f>
      </x:c>
      <x:c r="J430"/>
      <x:c r="K430" s="22" t="str">
        <x:f>IF(B430="","",START_HERE!$B$7)</x:f>
      </x:c>
      <x:c r="L430" s="22" t="str">
        <x:f>IF(B430="","",ROUND(K430-H430,2))</x:f>
      </x:c>
      <x:c r="M430"/>
      <x:c r="N430" t="str">
        <x:f>IF(B430="","",IF(J430&lt;&gt;"Completed","Not counted",IF(H430&lt;=0,"CHECK TIME","OK")))</x:f>
      </x:c>
    </x:row>
    <x:row r="431">
      <x:c r="A431" t="str">
        <x:f>IF(B431="","",ROW()-1)</x:f>
      </x:c>
      <x:c r="B431" s="24"/>
      <x:c r="C431" t="str">
        <x:f>IF(B431="","",TEXT(B431,"mmm-yyyy"))</x:f>
      </x:c>
      <x:c r="D431" t="str">
        <x:f>IF(B431="","",TEXT(B431,"ddd"))</x:f>
      </x:c>
      <x:c r="E431" s="32"/>
      <x:c r="F431" s="32"/>
      <x:c r="G431"/>
      <x:c r="H431" s="22" t="n">
        <x:f>IF(OR(B431="",J431&lt;&gt;"Completed"),0,IF(AND(ISNUMBER(E431),ISNUMBER(F431)),ROUND(((F431-E431)+(F431&lt;E431))*24-(N(G431)/60),2),0))</x:f>
        <x:v>0</x:v>
      </x:c>
      <x:c r="I431" s="34" t="str">
        <x:f>IF(H431=0,"",H431/24)</x:f>
      </x:c>
      <x:c r="J431"/>
      <x:c r="K431" s="22" t="str">
        <x:f>IF(B431="","",START_HERE!$B$7)</x:f>
      </x:c>
      <x:c r="L431" s="22" t="str">
        <x:f>IF(B431="","",ROUND(K431-H431,2))</x:f>
      </x:c>
      <x:c r="M431"/>
      <x:c r="N431" t="str">
        <x:f>IF(B431="","",IF(J431&lt;&gt;"Completed","Not counted",IF(H431&lt;=0,"CHECK TIME","OK")))</x:f>
      </x:c>
    </x:row>
    <x:row r="432">
      <x:c r="A432" t="str">
        <x:f>IF(B432="","",ROW()-1)</x:f>
      </x:c>
      <x:c r="B432" s="24"/>
      <x:c r="C432" t="str">
        <x:f>IF(B432="","",TEXT(B432,"mmm-yyyy"))</x:f>
      </x:c>
      <x:c r="D432" t="str">
        <x:f>IF(B432="","",TEXT(B432,"ddd"))</x:f>
      </x:c>
      <x:c r="E432" s="32"/>
      <x:c r="F432" s="32"/>
      <x:c r="G432"/>
      <x:c r="H432" s="22" t="n">
        <x:f>IF(OR(B432="",J432&lt;&gt;"Completed"),0,IF(AND(ISNUMBER(E432),ISNUMBER(F432)),ROUND(((F432-E432)+(F432&lt;E432))*24-(N(G432)/60),2),0))</x:f>
        <x:v>0</x:v>
      </x:c>
      <x:c r="I432" s="34" t="str">
        <x:f>IF(H432=0,"",H432/24)</x:f>
      </x:c>
      <x:c r="J432"/>
      <x:c r="K432" s="22" t="str">
        <x:f>IF(B432="","",START_HERE!$B$7)</x:f>
      </x:c>
      <x:c r="L432" s="22" t="str">
        <x:f>IF(B432="","",ROUND(K432-H432,2))</x:f>
      </x:c>
      <x:c r="M432"/>
      <x:c r="N432" t="str">
        <x:f>IF(B432="","",IF(J432&lt;&gt;"Completed","Not counted",IF(H432&lt;=0,"CHECK TIME","OK")))</x:f>
      </x:c>
    </x:row>
    <x:row r="433">
      <x:c r="A433" t="str">
        <x:f>IF(B433="","",ROW()-1)</x:f>
      </x:c>
      <x:c r="B433" s="24"/>
      <x:c r="C433" t="str">
        <x:f>IF(B433="","",TEXT(B433,"mmm-yyyy"))</x:f>
      </x:c>
      <x:c r="D433" t="str">
        <x:f>IF(B433="","",TEXT(B433,"ddd"))</x:f>
      </x:c>
      <x:c r="E433" s="32"/>
      <x:c r="F433" s="32"/>
      <x:c r="G433"/>
      <x:c r="H433" s="22" t="n">
        <x:f>IF(OR(B433="",J433&lt;&gt;"Completed"),0,IF(AND(ISNUMBER(E433),ISNUMBER(F433)),ROUND(((F433-E433)+(F433&lt;E433))*24-(N(G433)/60),2),0))</x:f>
        <x:v>0</x:v>
      </x:c>
      <x:c r="I433" s="34" t="str">
        <x:f>IF(H433=0,"",H433/24)</x:f>
      </x:c>
      <x:c r="J433"/>
      <x:c r="K433" s="22" t="str">
        <x:f>IF(B433="","",START_HERE!$B$7)</x:f>
      </x:c>
      <x:c r="L433" s="22" t="str">
        <x:f>IF(B433="","",ROUND(K433-H433,2))</x:f>
      </x:c>
      <x:c r="M433"/>
      <x:c r="N433" t="str">
        <x:f>IF(B433="","",IF(J433&lt;&gt;"Completed","Not counted",IF(H433&lt;=0,"CHECK TIME","OK")))</x:f>
      </x:c>
    </x:row>
    <x:row r="434">
      <x:c r="A434" t="str">
        <x:f>IF(B434="","",ROW()-1)</x:f>
      </x:c>
      <x:c r="B434" s="24"/>
      <x:c r="C434" t="str">
        <x:f>IF(B434="","",TEXT(B434,"mmm-yyyy"))</x:f>
      </x:c>
      <x:c r="D434" t="str">
        <x:f>IF(B434="","",TEXT(B434,"ddd"))</x:f>
      </x:c>
      <x:c r="E434" s="32"/>
      <x:c r="F434" s="32"/>
      <x:c r="G434"/>
      <x:c r="H434" s="22" t="n">
        <x:f>IF(OR(B434="",J434&lt;&gt;"Completed"),0,IF(AND(ISNUMBER(E434),ISNUMBER(F434)),ROUND(((F434-E434)+(F434&lt;E434))*24-(N(G434)/60),2),0))</x:f>
        <x:v>0</x:v>
      </x:c>
      <x:c r="I434" s="34" t="str">
        <x:f>IF(H434=0,"",H434/24)</x:f>
      </x:c>
      <x:c r="J434"/>
      <x:c r="K434" s="22" t="str">
        <x:f>IF(B434="","",START_HERE!$B$7)</x:f>
      </x:c>
      <x:c r="L434" s="22" t="str">
        <x:f>IF(B434="","",ROUND(K434-H434,2))</x:f>
      </x:c>
      <x:c r="M434"/>
      <x:c r="N434" t="str">
        <x:f>IF(B434="","",IF(J434&lt;&gt;"Completed","Not counted",IF(H434&lt;=0,"CHECK TIME","OK")))</x:f>
      </x:c>
    </x:row>
    <x:row r="435">
      <x:c r="A435" t="str">
        <x:f>IF(B435="","",ROW()-1)</x:f>
      </x:c>
      <x:c r="B435" s="24"/>
      <x:c r="C435" t="str">
        <x:f>IF(B435="","",TEXT(B435,"mmm-yyyy"))</x:f>
      </x:c>
      <x:c r="D435" t="str">
        <x:f>IF(B435="","",TEXT(B435,"ddd"))</x:f>
      </x:c>
      <x:c r="E435" s="32"/>
      <x:c r="F435" s="32"/>
      <x:c r="G435"/>
      <x:c r="H435" s="22" t="n">
        <x:f>IF(OR(B435="",J435&lt;&gt;"Completed"),0,IF(AND(ISNUMBER(E435),ISNUMBER(F435)),ROUND(((F435-E435)+(F435&lt;E435))*24-(N(G435)/60),2),0))</x:f>
        <x:v>0</x:v>
      </x:c>
      <x:c r="I435" s="34" t="str">
        <x:f>IF(H435=0,"",H435/24)</x:f>
      </x:c>
      <x:c r="J435"/>
      <x:c r="K435" s="22" t="str">
        <x:f>IF(B435="","",START_HERE!$B$7)</x:f>
      </x:c>
      <x:c r="L435" s="22" t="str">
        <x:f>IF(B435="","",ROUND(K435-H435,2))</x:f>
      </x:c>
      <x:c r="M435"/>
      <x:c r="N435" t="str">
        <x:f>IF(B435="","",IF(J435&lt;&gt;"Completed","Not counted",IF(H435&lt;=0,"CHECK TIME","OK")))</x:f>
      </x:c>
    </x:row>
    <x:row r="436">
      <x:c r="A436" t="str">
        <x:f>IF(B436="","",ROW()-1)</x:f>
      </x:c>
      <x:c r="B436" s="24"/>
      <x:c r="C436" t="str">
        <x:f>IF(B436="","",TEXT(B436,"mmm-yyyy"))</x:f>
      </x:c>
      <x:c r="D436" t="str">
        <x:f>IF(B436="","",TEXT(B436,"ddd"))</x:f>
      </x:c>
      <x:c r="E436" s="32"/>
      <x:c r="F436" s="32"/>
      <x:c r="G436"/>
      <x:c r="H436" s="22" t="n">
        <x:f>IF(OR(B436="",J436&lt;&gt;"Completed"),0,IF(AND(ISNUMBER(E436),ISNUMBER(F436)),ROUND(((F436-E436)+(F436&lt;E436))*24-(N(G436)/60),2),0))</x:f>
        <x:v>0</x:v>
      </x:c>
      <x:c r="I436" s="34" t="str">
        <x:f>IF(H436=0,"",H436/24)</x:f>
      </x:c>
      <x:c r="J436"/>
      <x:c r="K436" s="22" t="str">
        <x:f>IF(B436="","",START_HERE!$B$7)</x:f>
      </x:c>
      <x:c r="L436" s="22" t="str">
        <x:f>IF(B436="","",ROUND(K436-H436,2))</x:f>
      </x:c>
      <x:c r="M436"/>
      <x:c r="N436" t="str">
        <x:f>IF(B436="","",IF(J436&lt;&gt;"Completed","Not counted",IF(H436&lt;=0,"CHECK TIME","OK")))</x:f>
      </x:c>
    </x:row>
    <x:row r="437">
      <x:c r="A437" t="str">
        <x:f>IF(B437="","",ROW()-1)</x:f>
      </x:c>
      <x:c r="B437" s="24"/>
      <x:c r="C437" t="str">
        <x:f>IF(B437="","",TEXT(B437,"mmm-yyyy"))</x:f>
      </x:c>
      <x:c r="D437" t="str">
        <x:f>IF(B437="","",TEXT(B437,"ddd"))</x:f>
      </x:c>
      <x:c r="E437" s="32"/>
      <x:c r="F437" s="32"/>
      <x:c r="G437"/>
      <x:c r="H437" s="22" t="n">
        <x:f>IF(OR(B437="",J437&lt;&gt;"Completed"),0,IF(AND(ISNUMBER(E437),ISNUMBER(F437)),ROUND(((F437-E437)+(F437&lt;E437))*24-(N(G437)/60),2),0))</x:f>
        <x:v>0</x:v>
      </x:c>
      <x:c r="I437" s="34" t="str">
        <x:f>IF(H437=0,"",H437/24)</x:f>
      </x:c>
      <x:c r="J437"/>
      <x:c r="K437" s="22" t="str">
        <x:f>IF(B437="","",START_HERE!$B$7)</x:f>
      </x:c>
      <x:c r="L437" s="22" t="str">
        <x:f>IF(B437="","",ROUND(K437-H437,2))</x:f>
      </x:c>
      <x:c r="M437"/>
      <x:c r="N437" t="str">
        <x:f>IF(B437="","",IF(J437&lt;&gt;"Completed","Not counted",IF(H437&lt;=0,"CHECK TIME","OK")))</x:f>
      </x:c>
    </x:row>
    <x:row r="438">
      <x:c r="A438" t="str">
        <x:f>IF(B438="","",ROW()-1)</x:f>
      </x:c>
      <x:c r="B438" s="24"/>
      <x:c r="C438" t="str">
        <x:f>IF(B438="","",TEXT(B438,"mmm-yyyy"))</x:f>
      </x:c>
      <x:c r="D438" t="str">
        <x:f>IF(B438="","",TEXT(B438,"ddd"))</x:f>
      </x:c>
      <x:c r="E438" s="32"/>
      <x:c r="F438" s="32"/>
      <x:c r="G438"/>
      <x:c r="H438" s="22" t="n">
        <x:f>IF(OR(B438="",J438&lt;&gt;"Completed"),0,IF(AND(ISNUMBER(E438),ISNUMBER(F438)),ROUND(((F438-E438)+(F438&lt;E438))*24-(N(G438)/60),2),0))</x:f>
        <x:v>0</x:v>
      </x:c>
      <x:c r="I438" s="34" t="str">
        <x:f>IF(H438=0,"",H438/24)</x:f>
      </x:c>
      <x:c r="J438"/>
      <x:c r="K438" s="22" t="str">
        <x:f>IF(B438="","",START_HERE!$B$7)</x:f>
      </x:c>
      <x:c r="L438" s="22" t="str">
        <x:f>IF(B438="","",ROUND(K438-H438,2))</x:f>
      </x:c>
      <x:c r="M438"/>
      <x:c r="N438" t="str">
        <x:f>IF(B438="","",IF(J438&lt;&gt;"Completed","Not counted",IF(H438&lt;=0,"CHECK TIME","OK")))</x:f>
      </x:c>
    </x:row>
    <x:row r="439">
      <x:c r="A439" t="str">
        <x:f>IF(B439="","",ROW()-1)</x:f>
      </x:c>
      <x:c r="B439" s="24"/>
      <x:c r="C439" t="str">
        <x:f>IF(B439="","",TEXT(B439,"mmm-yyyy"))</x:f>
      </x:c>
      <x:c r="D439" t="str">
        <x:f>IF(B439="","",TEXT(B439,"ddd"))</x:f>
      </x:c>
      <x:c r="E439" s="32"/>
      <x:c r="F439" s="32"/>
      <x:c r="G439"/>
      <x:c r="H439" s="22" t="n">
        <x:f>IF(OR(B439="",J439&lt;&gt;"Completed"),0,IF(AND(ISNUMBER(E439),ISNUMBER(F439)),ROUND(((F439-E439)+(F439&lt;E439))*24-(N(G439)/60),2),0))</x:f>
        <x:v>0</x:v>
      </x:c>
      <x:c r="I439" s="34" t="str">
        <x:f>IF(H439=0,"",H439/24)</x:f>
      </x:c>
      <x:c r="J439"/>
      <x:c r="K439" s="22" t="str">
        <x:f>IF(B439="","",START_HERE!$B$7)</x:f>
      </x:c>
      <x:c r="L439" s="22" t="str">
        <x:f>IF(B439="","",ROUND(K439-H439,2))</x:f>
      </x:c>
      <x:c r="M439"/>
      <x:c r="N439" t="str">
        <x:f>IF(B439="","",IF(J439&lt;&gt;"Completed","Not counted",IF(H439&lt;=0,"CHECK TIME","OK")))</x:f>
      </x:c>
    </x:row>
    <x:row r="440">
      <x:c r="A440" t="str">
        <x:f>IF(B440="","",ROW()-1)</x:f>
      </x:c>
      <x:c r="B440" s="24"/>
      <x:c r="C440" t="str">
        <x:f>IF(B440="","",TEXT(B440,"mmm-yyyy"))</x:f>
      </x:c>
      <x:c r="D440" t="str">
        <x:f>IF(B440="","",TEXT(B440,"ddd"))</x:f>
      </x:c>
      <x:c r="E440" s="32"/>
      <x:c r="F440" s="32"/>
      <x:c r="G440"/>
      <x:c r="H440" s="22" t="n">
        <x:f>IF(OR(B440="",J440&lt;&gt;"Completed"),0,IF(AND(ISNUMBER(E440),ISNUMBER(F440)),ROUND(((F440-E440)+(F440&lt;E440))*24-(N(G440)/60),2),0))</x:f>
        <x:v>0</x:v>
      </x:c>
      <x:c r="I440" s="34" t="str">
        <x:f>IF(H440=0,"",H440/24)</x:f>
      </x:c>
      <x:c r="J440"/>
      <x:c r="K440" s="22" t="str">
        <x:f>IF(B440="","",START_HERE!$B$7)</x:f>
      </x:c>
      <x:c r="L440" s="22" t="str">
        <x:f>IF(B440="","",ROUND(K440-H440,2))</x:f>
      </x:c>
      <x:c r="M440"/>
      <x:c r="N440" t="str">
        <x:f>IF(B440="","",IF(J440&lt;&gt;"Completed","Not counted",IF(H440&lt;=0,"CHECK TIME","OK")))</x:f>
      </x:c>
    </x:row>
    <x:row r="441">
      <x:c r="A441" t="str">
        <x:f>IF(B441="","",ROW()-1)</x:f>
      </x:c>
      <x:c r="B441" s="24"/>
      <x:c r="C441" t="str">
        <x:f>IF(B441="","",TEXT(B441,"mmm-yyyy"))</x:f>
      </x:c>
      <x:c r="D441" t="str">
        <x:f>IF(B441="","",TEXT(B441,"ddd"))</x:f>
      </x:c>
      <x:c r="E441" s="32"/>
      <x:c r="F441" s="32"/>
      <x:c r="G441"/>
      <x:c r="H441" s="22" t="n">
        <x:f>IF(OR(B441="",J441&lt;&gt;"Completed"),0,IF(AND(ISNUMBER(E441),ISNUMBER(F441)),ROUND(((F441-E441)+(F441&lt;E441))*24-(N(G441)/60),2),0))</x:f>
        <x:v>0</x:v>
      </x:c>
      <x:c r="I441" s="34" t="str">
        <x:f>IF(H441=0,"",H441/24)</x:f>
      </x:c>
      <x:c r="J441"/>
      <x:c r="K441" s="22" t="str">
        <x:f>IF(B441="","",START_HERE!$B$7)</x:f>
      </x:c>
      <x:c r="L441" s="22" t="str">
        <x:f>IF(B441="","",ROUND(K441-H441,2))</x:f>
      </x:c>
      <x:c r="M441"/>
      <x:c r="N441" t="str">
        <x:f>IF(B441="","",IF(J441&lt;&gt;"Completed","Not counted",IF(H441&lt;=0,"CHECK TIME","OK")))</x:f>
      </x:c>
    </x:row>
    <x:row r="442">
      <x:c r="A442" t="str">
        <x:f>IF(B442="","",ROW()-1)</x:f>
      </x:c>
      <x:c r="B442" s="24"/>
      <x:c r="C442" t="str">
        <x:f>IF(B442="","",TEXT(B442,"mmm-yyyy"))</x:f>
      </x:c>
      <x:c r="D442" t="str">
        <x:f>IF(B442="","",TEXT(B442,"ddd"))</x:f>
      </x:c>
      <x:c r="E442" s="32"/>
      <x:c r="F442" s="32"/>
      <x:c r="G442"/>
      <x:c r="H442" s="22" t="n">
        <x:f>IF(OR(B442="",J442&lt;&gt;"Completed"),0,IF(AND(ISNUMBER(E442),ISNUMBER(F442)),ROUND(((F442-E442)+(F442&lt;E442))*24-(N(G442)/60),2),0))</x:f>
        <x:v>0</x:v>
      </x:c>
      <x:c r="I442" s="34" t="str">
        <x:f>IF(H442=0,"",H442/24)</x:f>
      </x:c>
      <x:c r="J442"/>
      <x:c r="K442" s="22" t="str">
        <x:f>IF(B442="","",START_HERE!$B$7)</x:f>
      </x:c>
      <x:c r="L442" s="22" t="str">
        <x:f>IF(B442="","",ROUND(K442-H442,2))</x:f>
      </x:c>
      <x:c r="M442"/>
      <x:c r="N442" t="str">
        <x:f>IF(B442="","",IF(J442&lt;&gt;"Completed","Not counted",IF(H442&lt;=0,"CHECK TIME","OK")))</x:f>
      </x:c>
    </x:row>
    <x:row r="443">
      <x:c r="A443" t="str">
        <x:f>IF(B443="","",ROW()-1)</x:f>
      </x:c>
      <x:c r="B443" s="24"/>
      <x:c r="C443" t="str">
        <x:f>IF(B443="","",TEXT(B443,"mmm-yyyy"))</x:f>
      </x:c>
      <x:c r="D443" t="str">
        <x:f>IF(B443="","",TEXT(B443,"ddd"))</x:f>
      </x:c>
      <x:c r="E443" s="32"/>
      <x:c r="F443" s="32"/>
      <x:c r="G443"/>
      <x:c r="H443" s="22" t="n">
        <x:f>IF(OR(B443="",J443&lt;&gt;"Completed"),0,IF(AND(ISNUMBER(E443),ISNUMBER(F443)),ROUND(((F443-E443)+(F443&lt;E443))*24-(N(G443)/60),2),0))</x:f>
        <x:v>0</x:v>
      </x:c>
      <x:c r="I443" s="34" t="str">
        <x:f>IF(H443=0,"",H443/24)</x:f>
      </x:c>
      <x:c r="J443"/>
      <x:c r="K443" s="22" t="str">
        <x:f>IF(B443="","",START_HERE!$B$7)</x:f>
      </x:c>
      <x:c r="L443" s="22" t="str">
        <x:f>IF(B443="","",ROUND(K443-H443,2))</x:f>
      </x:c>
      <x:c r="M443"/>
      <x:c r="N443" t="str">
        <x:f>IF(B443="","",IF(J443&lt;&gt;"Completed","Not counted",IF(H443&lt;=0,"CHECK TIME","OK")))</x:f>
      </x:c>
    </x:row>
    <x:row r="444">
      <x:c r="A444" t="str">
        <x:f>IF(B444="","",ROW()-1)</x:f>
      </x:c>
      <x:c r="B444" s="24"/>
      <x:c r="C444" t="str">
        <x:f>IF(B444="","",TEXT(B444,"mmm-yyyy"))</x:f>
      </x:c>
      <x:c r="D444" t="str">
        <x:f>IF(B444="","",TEXT(B444,"ddd"))</x:f>
      </x:c>
      <x:c r="E444" s="32"/>
      <x:c r="F444" s="32"/>
      <x:c r="G444"/>
      <x:c r="H444" s="22" t="n">
        <x:f>IF(OR(B444="",J444&lt;&gt;"Completed"),0,IF(AND(ISNUMBER(E444),ISNUMBER(F444)),ROUND(((F444-E444)+(F444&lt;E444))*24-(N(G444)/60),2),0))</x:f>
        <x:v>0</x:v>
      </x:c>
      <x:c r="I444" s="34" t="str">
        <x:f>IF(H444=0,"",H444/24)</x:f>
      </x:c>
      <x:c r="J444"/>
      <x:c r="K444" s="22" t="str">
        <x:f>IF(B444="","",START_HERE!$B$7)</x:f>
      </x:c>
      <x:c r="L444" s="22" t="str">
        <x:f>IF(B444="","",ROUND(K444-H444,2))</x:f>
      </x:c>
      <x:c r="M444"/>
      <x:c r="N444" t="str">
        <x:f>IF(B444="","",IF(J444&lt;&gt;"Completed","Not counted",IF(H444&lt;=0,"CHECK TIME","OK")))</x:f>
      </x:c>
    </x:row>
    <x:row r="445">
      <x:c r="A445" t="str">
        <x:f>IF(B445="","",ROW()-1)</x:f>
      </x:c>
      <x:c r="B445" s="24"/>
      <x:c r="C445" t="str">
        <x:f>IF(B445="","",TEXT(B445,"mmm-yyyy"))</x:f>
      </x:c>
      <x:c r="D445" t="str">
        <x:f>IF(B445="","",TEXT(B445,"ddd"))</x:f>
      </x:c>
      <x:c r="E445" s="32"/>
      <x:c r="F445" s="32"/>
      <x:c r="G445"/>
      <x:c r="H445" s="22" t="n">
        <x:f>IF(OR(B445="",J445&lt;&gt;"Completed"),0,IF(AND(ISNUMBER(E445),ISNUMBER(F445)),ROUND(((F445-E445)+(F445&lt;E445))*24-(N(G445)/60),2),0))</x:f>
        <x:v>0</x:v>
      </x:c>
      <x:c r="I445" s="34" t="str">
        <x:f>IF(H445=0,"",H445/24)</x:f>
      </x:c>
      <x:c r="J445"/>
      <x:c r="K445" s="22" t="str">
        <x:f>IF(B445="","",START_HERE!$B$7)</x:f>
      </x:c>
      <x:c r="L445" s="22" t="str">
        <x:f>IF(B445="","",ROUND(K445-H445,2))</x:f>
      </x:c>
      <x:c r="M445"/>
      <x:c r="N445" t="str">
        <x:f>IF(B445="","",IF(J445&lt;&gt;"Completed","Not counted",IF(H445&lt;=0,"CHECK TIME","OK")))</x:f>
      </x:c>
    </x:row>
    <x:row r="446">
      <x:c r="A446" t="str">
        <x:f>IF(B446="","",ROW()-1)</x:f>
      </x:c>
      <x:c r="B446" s="24"/>
      <x:c r="C446" t="str">
        <x:f>IF(B446="","",TEXT(B446,"mmm-yyyy"))</x:f>
      </x:c>
      <x:c r="D446" t="str">
        <x:f>IF(B446="","",TEXT(B446,"ddd"))</x:f>
      </x:c>
      <x:c r="E446" s="32"/>
      <x:c r="F446" s="32"/>
      <x:c r="G446"/>
      <x:c r="H446" s="22" t="n">
        <x:f>IF(OR(B446="",J446&lt;&gt;"Completed"),0,IF(AND(ISNUMBER(E446),ISNUMBER(F446)),ROUND(((F446-E446)+(F446&lt;E446))*24-(N(G446)/60),2),0))</x:f>
        <x:v>0</x:v>
      </x:c>
      <x:c r="I446" s="34" t="str">
        <x:f>IF(H446=0,"",H446/24)</x:f>
      </x:c>
      <x:c r="J446"/>
      <x:c r="K446" s="22" t="str">
        <x:f>IF(B446="","",START_HERE!$B$7)</x:f>
      </x:c>
      <x:c r="L446" s="22" t="str">
        <x:f>IF(B446="","",ROUND(K446-H446,2))</x:f>
      </x:c>
      <x:c r="M446"/>
      <x:c r="N446" t="str">
        <x:f>IF(B446="","",IF(J446&lt;&gt;"Completed","Not counted",IF(H446&lt;=0,"CHECK TIME","OK")))</x:f>
      </x:c>
    </x:row>
    <x:row r="447">
      <x:c r="A447" t="str">
        <x:f>IF(B447="","",ROW()-1)</x:f>
      </x:c>
      <x:c r="B447" s="24"/>
      <x:c r="C447" t="str">
        <x:f>IF(B447="","",TEXT(B447,"mmm-yyyy"))</x:f>
      </x:c>
      <x:c r="D447" t="str">
        <x:f>IF(B447="","",TEXT(B447,"ddd"))</x:f>
      </x:c>
      <x:c r="E447" s="32"/>
      <x:c r="F447" s="32"/>
      <x:c r="G447"/>
      <x:c r="H447" s="22" t="n">
        <x:f>IF(OR(B447="",J447&lt;&gt;"Completed"),0,IF(AND(ISNUMBER(E447),ISNUMBER(F447)),ROUND(((F447-E447)+(F447&lt;E447))*24-(N(G447)/60),2),0))</x:f>
        <x:v>0</x:v>
      </x:c>
      <x:c r="I447" s="34" t="str">
        <x:f>IF(H447=0,"",H447/24)</x:f>
      </x:c>
      <x:c r="J447"/>
      <x:c r="K447" s="22" t="str">
        <x:f>IF(B447="","",START_HERE!$B$7)</x:f>
      </x:c>
      <x:c r="L447" s="22" t="str">
        <x:f>IF(B447="","",ROUND(K447-H447,2))</x:f>
      </x:c>
      <x:c r="M447"/>
      <x:c r="N447" t="str">
        <x:f>IF(B447="","",IF(J447&lt;&gt;"Completed","Not counted",IF(H447&lt;=0,"CHECK TIME","OK")))</x:f>
      </x:c>
    </x:row>
    <x:row r="448">
      <x:c r="A448" t="str">
        <x:f>IF(B448="","",ROW()-1)</x:f>
      </x:c>
      <x:c r="B448" s="24"/>
      <x:c r="C448" t="str">
        <x:f>IF(B448="","",TEXT(B448,"mmm-yyyy"))</x:f>
      </x:c>
      <x:c r="D448" t="str">
        <x:f>IF(B448="","",TEXT(B448,"ddd"))</x:f>
      </x:c>
      <x:c r="E448" s="32"/>
      <x:c r="F448" s="32"/>
      <x:c r="G448"/>
      <x:c r="H448" s="22" t="n">
        <x:f>IF(OR(B448="",J448&lt;&gt;"Completed"),0,IF(AND(ISNUMBER(E448),ISNUMBER(F448)),ROUND(((F448-E448)+(F448&lt;E448))*24-(N(G448)/60),2),0))</x:f>
        <x:v>0</x:v>
      </x:c>
      <x:c r="I448" s="34" t="str">
        <x:f>IF(H448=0,"",H448/24)</x:f>
      </x:c>
      <x:c r="J448"/>
      <x:c r="K448" s="22" t="str">
        <x:f>IF(B448="","",START_HERE!$B$7)</x:f>
      </x:c>
      <x:c r="L448" s="22" t="str">
        <x:f>IF(B448="","",ROUND(K448-H448,2))</x:f>
      </x:c>
      <x:c r="M448"/>
      <x:c r="N448" t="str">
        <x:f>IF(B448="","",IF(J448&lt;&gt;"Completed","Not counted",IF(H448&lt;=0,"CHECK TIME","OK")))</x:f>
      </x:c>
    </x:row>
    <x:row r="449">
      <x:c r="A449" t="str">
        <x:f>IF(B449="","",ROW()-1)</x:f>
      </x:c>
      <x:c r="B449" s="24"/>
      <x:c r="C449" t="str">
        <x:f>IF(B449="","",TEXT(B449,"mmm-yyyy"))</x:f>
      </x:c>
      <x:c r="D449" t="str">
        <x:f>IF(B449="","",TEXT(B449,"ddd"))</x:f>
      </x:c>
      <x:c r="E449" s="32"/>
      <x:c r="F449" s="32"/>
      <x:c r="G449"/>
      <x:c r="H449" s="22" t="n">
        <x:f>IF(OR(B449="",J449&lt;&gt;"Completed"),0,IF(AND(ISNUMBER(E449),ISNUMBER(F449)),ROUND(((F449-E449)+(F449&lt;E449))*24-(N(G449)/60),2),0))</x:f>
        <x:v>0</x:v>
      </x:c>
      <x:c r="I449" s="34" t="str">
        <x:f>IF(H449=0,"",H449/24)</x:f>
      </x:c>
      <x:c r="J449"/>
      <x:c r="K449" s="22" t="str">
        <x:f>IF(B449="","",START_HERE!$B$7)</x:f>
      </x:c>
      <x:c r="L449" s="22" t="str">
        <x:f>IF(B449="","",ROUND(K449-H449,2))</x:f>
      </x:c>
      <x:c r="M449"/>
      <x:c r="N449" t="str">
        <x:f>IF(B449="","",IF(J449&lt;&gt;"Completed","Not counted",IF(H449&lt;=0,"CHECK TIME","OK")))</x:f>
      </x:c>
    </x:row>
    <x:row r="450">
      <x:c r="A450" t="str">
        <x:f>IF(B450="","",ROW()-1)</x:f>
      </x:c>
      <x:c r="B450" s="24"/>
      <x:c r="C450" t="str">
        <x:f>IF(B450="","",TEXT(B450,"mmm-yyyy"))</x:f>
      </x:c>
      <x:c r="D450" t="str">
        <x:f>IF(B450="","",TEXT(B450,"ddd"))</x:f>
      </x:c>
      <x:c r="E450" s="32"/>
      <x:c r="F450" s="32"/>
      <x:c r="G450"/>
      <x:c r="H450" s="22" t="n">
        <x:f>IF(OR(B450="",J450&lt;&gt;"Completed"),0,IF(AND(ISNUMBER(E450),ISNUMBER(F450)),ROUND(((F450-E450)+(F450&lt;E450))*24-(N(G450)/60),2),0))</x:f>
        <x:v>0</x:v>
      </x:c>
      <x:c r="I450" s="34" t="str">
        <x:f>IF(H450=0,"",H450/24)</x:f>
      </x:c>
      <x:c r="J450"/>
      <x:c r="K450" s="22" t="str">
        <x:f>IF(B450="","",START_HERE!$B$7)</x:f>
      </x:c>
      <x:c r="L450" s="22" t="str">
        <x:f>IF(B450="","",ROUND(K450-H450,2))</x:f>
      </x:c>
      <x:c r="M450"/>
      <x:c r="N450" t="str">
        <x:f>IF(B450="","",IF(J450&lt;&gt;"Completed","Not counted",IF(H450&lt;=0,"CHECK TIME","OK")))</x:f>
      </x:c>
    </x:row>
    <x:row r="451">
      <x:c r="A451" t="str">
        <x:f>IF(B451="","",ROW()-1)</x:f>
      </x:c>
      <x:c r="B451" s="24"/>
      <x:c r="C451" t="str">
        <x:f>IF(B451="","",TEXT(B451,"mmm-yyyy"))</x:f>
      </x:c>
      <x:c r="D451" t="str">
        <x:f>IF(B451="","",TEXT(B451,"ddd"))</x:f>
      </x:c>
      <x:c r="E451" s="32"/>
      <x:c r="F451" s="32"/>
      <x:c r="G451"/>
      <x:c r="H451" s="22" t="n">
        <x:f>IF(OR(B451="",J451&lt;&gt;"Completed"),0,IF(AND(ISNUMBER(E451),ISNUMBER(F451)),ROUND(((F451-E451)+(F451&lt;E451))*24-(N(G451)/60),2),0))</x:f>
        <x:v>0</x:v>
      </x:c>
      <x:c r="I451" s="34" t="str">
        <x:f>IF(H451=0,"",H451/24)</x:f>
      </x:c>
      <x:c r="J451"/>
      <x:c r="K451" s="22" t="str">
        <x:f>IF(B451="","",START_HERE!$B$7)</x:f>
      </x:c>
      <x:c r="L451" s="22" t="str">
        <x:f>IF(B451="","",ROUND(K451-H451,2))</x:f>
      </x:c>
      <x:c r="M451"/>
      <x:c r="N451" t="str">
        <x:f>IF(B451="","",IF(J451&lt;&gt;"Completed","Not counted",IF(H451&lt;=0,"CHECK TIME","OK")))</x:f>
      </x:c>
    </x:row>
    <x:row r="452">
      <x:c r="A452" t="str">
        <x:f>IF(B452="","",ROW()-1)</x:f>
      </x:c>
      <x:c r="B452" s="24"/>
      <x:c r="C452" t="str">
        <x:f>IF(B452="","",TEXT(B452,"mmm-yyyy"))</x:f>
      </x:c>
      <x:c r="D452" t="str">
        <x:f>IF(B452="","",TEXT(B452,"ddd"))</x:f>
      </x:c>
      <x:c r="E452" s="32"/>
      <x:c r="F452" s="32"/>
      <x:c r="G452"/>
      <x:c r="H452" s="22" t="n">
        <x:f>IF(OR(B452="",J452&lt;&gt;"Completed"),0,IF(AND(ISNUMBER(E452),ISNUMBER(F452)),ROUND(((F452-E452)+(F452&lt;E452))*24-(N(G452)/60),2),0))</x:f>
        <x:v>0</x:v>
      </x:c>
      <x:c r="I452" s="34" t="str">
        <x:f>IF(H452=0,"",H452/24)</x:f>
      </x:c>
      <x:c r="J452"/>
      <x:c r="K452" s="22" t="str">
        <x:f>IF(B452="","",START_HERE!$B$7)</x:f>
      </x:c>
      <x:c r="L452" s="22" t="str">
        <x:f>IF(B452="","",ROUND(K452-H452,2))</x:f>
      </x:c>
      <x:c r="M452"/>
      <x:c r="N452" t="str">
        <x:f>IF(B452="","",IF(J452&lt;&gt;"Completed","Not counted",IF(H452&lt;=0,"CHECK TIME","OK")))</x:f>
      </x:c>
    </x:row>
    <x:row r="453">
      <x:c r="A453" t="str">
        <x:f>IF(B453="","",ROW()-1)</x:f>
      </x:c>
      <x:c r="B453" s="24"/>
      <x:c r="C453" t="str">
        <x:f>IF(B453="","",TEXT(B453,"mmm-yyyy"))</x:f>
      </x:c>
      <x:c r="D453" t="str">
        <x:f>IF(B453="","",TEXT(B453,"ddd"))</x:f>
      </x:c>
      <x:c r="E453" s="32"/>
      <x:c r="F453" s="32"/>
      <x:c r="G453"/>
      <x:c r="H453" s="22" t="n">
        <x:f>IF(OR(B453="",J453&lt;&gt;"Completed"),0,IF(AND(ISNUMBER(E453),ISNUMBER(F453)),ROUND(((F453-E453)+(F453&lt;E453))*24-(N(G453)/60),2),0))</x:f>
        <x:v>0</x:v>
      </x:c>
      <x:c r="I453" s="34" t="str">
        <x:f>IF(H453=0,"",H453/24)</x:f>
      </x:c>
      <x:c r="J453"/>
      <x:c r="K453" s="22" t="str">
        <x:f>IF(B453="","",START_HERE!$B$7)</x:f>
      </x:c>
      <x:c r="L453" s="22" t="str">
        <x:f>IF(B453="","",ROUND(K453-H453,2))</x:f>
      </x:c>
      <x:c r="M453"/>
      <x:c r="N453" t="str">
        <x:f>IF(B453="","",IF(J453&lt;&gt;"Completed","Not counted",IF(H453&lt;=0,"CHECK TIME","OK")))</x:f>
      </x:c>
    </x:row>
    <x:row r="454">
      <x:c r="A454" t="str">
        <x:f>IF(B454="","",ROW()-1)</x:f>
      </x:c>
      <x:c r="B454" s="24"/>
      <x:c r="C454" t="str">
        <x:f>IF(B454="","",TEXT(B454,"mmm-yyyy"))</x:f>
      </x:c>
      <x:c r="D454" t="str">
        <x:f>IF(B454="","",TEXT(B454,"ddd"))</x:f>
      </x:c>
      <x:c r="E454" s="32"/>
      <x:c r="F454" s="32"/>
      <x:c r="G454"/>
      <x:c r="H454" s="22" t="n">
        <x:f>IF(OR(B454="",J454&lt;&gt;"Completed"),0,IF(AND(ISNUMBER(E454),ISNUMBER(F454)),ROUND(((F454-E454)+(F454&lt;E454))*24-(N(G454)/60),2),0))</x:f>
        <x:v>0</x:v>
      </x:c>
      <x:c r="I454" s="34" t="str">
        <x:f>IF(H454=0,"",H454/24)</x:f>
      </x:c>
      <x:c r="J454"/>
      <x:c r="K454" s="22" t="str">
        <x:f>IF(B454="","",START_HERE!$B$7)</x:f>
      </x:c>
      <x:c r="L454" s="22" t="str">
        <x:f>IF(B454="","",ROUND(K454-H454,2))</x:f>
      </x:c>
      <x:c r="M454"/>
      <x:c r="N454" t="str">
        <x:f>IF(B454="","",IF(J454&lt;&gt;"Completed","Not counted",IF(H454&lt;=0,"CHECK TIME","OK")))</x:f>
      </x:c>
    </x:row>
    <x:row r="455">
      <x:c r="A455" t="str">
        <x:f>IF(B455="","",ROW()-1)</x:f>
      </x:c>
      <x:c r="B455" s="24"/>
      <x:c r="C455" t="str">
        <x:f>IF(B455="","",TEXT(B455,"mmm-yyyy"))</x:f>
      </x:c>
      <x:c r="D455" t="str">
        <x:f>IF(B455="","",TEXT(B455,"ddd"))</x:f>
      </x:c>
      <x:c r="E455" s="32"/>
      <x:c r="F455" s="32"/>
      <x:c r="G455"/>
      <x:c r="H455" s="22" t="n">
        <x:f>IF(OR(B455="",J455&lt;&gt;"Completed"),0,IF(AND(ISNUMBER(E455),ISNUMBER(F455)),ROUND(((F455-E455)+(F455&lt;E455))*24-(N(G455)/60),2),0))</x:f>
        <x:v>0</x:v>
      </x:c>
      <x:c r="I455" s="34" t="str">
        <x:f>IF(H455=0,"",H455/24)</x:f>
      </x:c>
      <x:c r="J455"/>
      <x:c r="K455" s="22" t="str">
        <x:f>IF(B455="","",START_HERE!$B$7)</x:f>
      </x:c>
      <x:c r="L455" s="22" t="str">
        <x:f>IF(B455="","",ROUND(K455-H455,2))</x:f>
      </x:c>
      <x:c r="M455"/>
      <x:c r="N455" t="str">
        <x:f>IF(B455="","",IF(J455&lt;&gt;"Completed","Not counted",IF(H455&lt;=0,"CHECK TIME","OK")))</x:f>
      </x:c>
    </x:row>
    <x:row r="456">
      <x:c r="A456" t="str">
        <x:f>IF(B456="","",ROW()-1)</x:f>
      </x:c>
      <x:c r="B456" s="24"/>
      <x:c r="C456" t="str">
        <x:f>IF(B456="","",TEXT(B456,"mmm-yyyy"))</x:f>
      </x:c>
      <x:c r="D456" t="str">
        <x:f>IF(B456="","",TEXT(B456,"ddd"))</x:f>
      </x:c>
      <x:c r="E456" s="32"/>
      <x:c r="F456" s="32"/>
      <x:c r="G456"/>
      <x:c r="H456" s="22" t="n">
        <x:f>IF(OR(B456="",J456&lt;&gt;"Completed"),0,IF(AND(ISNUMBER(E456),ISNUMBER(F456)),ROUND(((F456-E456)+(F456&lt;E456))*24-(N(G456)/60),2),0))</x:f>
        <x:v>0</x:v>
      </x:c>
      <x:c r="I456" s="34" t="str">
        <x:f>IF(H456=0,"",H456/24)</x:f>
      </x:c>
      <x:c r="J456"/>
      <x:c r="K456" s="22" t="str">
        <x:f>IF(B456="","",START_HERE!$B$7)</x:f>
      </x:c>
      <x:c r="L456" s="22" t="str">
        <x:f>IF(B456="","",ROUND(K456-H456,2))</x:f>
      </x:c>
      <x:c r="M456"/>
      <x:c r="N456" t="str">
        <x:f>IF(B456="","",IF(J456&lt;&gt;"Completed","Not counted",IF(H456&lt;=0,"CHECK TIME","OK")))</x:f>
      </x:c>
    </x:row>
    <x:row r="457">
      <x:c r="A457" t="str">
        <x:f>IF(B457="","",ROW()-1)</x:f>
      </x:c>
      <x:c r="B457" s="24"/>
      <x:c r="C457" t="str">
        <x:f>IF(B457="","",TEXT(B457,"mmm-yyyy"))</x:f>
      </x:c>
      <x:c r="D457" t="str">
        <x:f>IF(B457="","",TEXT(B457,"ddd"))</x:f>
      </x:c>
      <x:c r="E457" s="32"/>
      <x:c r="F457" s="32"/>
      <x:c r="G457"/>
      <x:c r="H457" s="22" t="n">
        <x:f>IF(OR(B457="",J457&lt;&gt;"Completed"),0,IF(AND(ISNUMBER(E457),ISNUMBER(F457)),ROUND(((F457-E457)+(F457&lt;E457))*24-(N(G457)/60),2),0))</x:f>
        <x:v>0</x:v>
      </x:c>
      <x:c r="I457" s="34" t="str">
        <x:f>IF(H457=0,"",H457/24)</x:f>
      </x:c>
      <x:c r="J457"/>
      <x:c r="K457" s="22" t="str">
        <x:f>IF(B457="","",START_HERE!$B$7)</x:f>
      </x:c>
      <x:c r="L457" s="22" t="str">
        <x:f>IF(B457="","",ROUND(K457-H457,2))</x:f>
      </x:c>
      <x:c r="M457"/>
      <x:c r="N457" t="str">
        <x:f>IF(B457="","",IF(J457&lt;&gt;"Completed","Not counted",IF(H457&lt;=0,"CHECK TIME","OK")))</x:f>
      </x:c>
    </x:row>
    <x:row r="458">
      <x:c r="A458" t="str">
        <x:f>IF(B458="","",ROW()-1)</x:f>
      </x:c>
      <x:c r="B458" s="24"/>
      <x:c r="C458" t="str">
        <x:f>IF(B458="","",TEXT(B458,"mmm-yyyy"))</x:f>
      </x:c>
      <x:c r="D458" t="str">
        <x:f>IF(B458="","",TEXT(B458,"ddd"))</x:f>
      </x:c>
      <x:c r="E458" s="32"/>
      <x:c r="F458" s="32"/>
      <x:c r="G458"/>
      <x:c r="H458" s="22" t="n">
        <x:f>IF(OR(B458="",J458&lt;&gt;"Completed"),0,IF(AND(ISNUMBER(E458),ISNUMBER(F458)),ROUND(((F458-E458)+(F458&lt;E458))*24-(N(G458)/60),2),0))</x:f>
        <x:v>0</x:v>
      </x:c>
      <x:c r="I458" s="34" t="str">
        <x:f>IF(H458=0,"",H458/24)</x:f>
      </x:c>
      <x:c r="J458"/>
      <x:c r="K458" s="22" t="str">
        <x:f>IF(B458="","",START_HERE!$B$7)</x:f>
      </x:c>
      <x:c r="L458" s="22" t="str">
        <x:f>IF(B458="","",ROUND(K458-H458,2))</x:f>
      </x:c>
      <x:c r="M458"/>
      <x:c r="N458" t="str">
        <x:f>IF(B458="","",IF(J458&lt;&gt;"Completed","Not counted",IF(H458&lt;=0,"CHECK TIME","OK")))</x:f>
      </x:c>
    </x:row>
    <x:row r="459">
      <x:c r="A459" t="str">
        <x:f>IF(B459="","",ROW()-1)</x:f>
      </x:c>
      <x:c r="B459" s="24"/>
      <x:c r="C459" t="str">
        <x:f>IF(B459="","",TEXT(B459,"mmm-yyyy"))</x:f>
      </x:c>
      <x:c r="D459" t="str">
        <x:f>IF(B459="","",TEXT(B459,"ddd"))</x:f>
      </x:c>
      <x:c r="E459" s="32"/>
      <x:c r="F459" s="32"/>
      <x:c r="G459"/>
      <x:c r="H459" s="22" t="n">
        <x:f>IF(OR(B459="",J459&lt;&gt;"Completed"),0,IF(AND(ISNUMBER(E459),ISNUMBER(F459)),ROUND(((F459-E459)+(F459&lt;E459))*24-(N(G459)/60),2),0))</x:f>
        <x:v>0</x:v>
      </x:c>
      <x:c r="I459" s="34" t="str">
        <x:f>IF(H459=0,"",H459/24)</x:f>
      </x:c>
      <x:c r="J459"/>
      <x:c r="K459" s="22" t="str">
        <x:f>IF(B459="","",START_HERE!$B$7)</x:f>
      </x:c>
      <x:c r="L459" s="22" t="str">
        <x:f>IF(B459="","",ROUND(K459-H459,2))</x:f>
      </x:c>
      <x:c r="M459"/>
      <x:c r="N459" t="str">
        <x:f>IF(B459="","",IF(J459&lt;&gt;"Completed","Not counted",IF(H459&lt;=0,"CHECK TIME","OK")))</x:f>
      </x:c>
    </x:row>
    <x:row r="460">
      <x:c r="A460" t="str">
        <x:f>IF(B460="","",ROW()-1)</x:f>
      </x:c>
      <x:c r="B460" s="24"/>
      <x:c r="C460" t="str">
        <x:f>IF(B460="","",TEXT(B460,"mmm-yyyy"))</x:f>
      </x:c>
      <x:c r="D460" t="str">
        <x:f>IF(B460="","",TEXT(B460,"ddd"))</x:f>
      </x:c>
      <x:c r="E460" s="32"/>
      <x:c r="F460" s="32"/>
      <x:c r="G460"/>
      <x:c r="H460" s="22" t="n">
        <x:f>IF(OR(B460="",J460&lt;&gt;"Completed"),0,IF(AND(ISNUMBER(E460),ISNUMBER(F460)),ROUND(((F460-E460)+(F460&lt;E460))*24-(N(G460)/60),2),0))</x:f>
        <x:v>0</x:v>
      </x:c>
      <x:c r="I460" s="34" t="str">
        <x:f>IF(H460=0,"",H460/24)</x:f>
      </x:c>
      <x:c r="J460"/>
      <x:c r="K460" s="22" t="str">
        <x:f>IF(B460="","",START_HERE!$B$7)</x:f>
      </x:c>
      <x:c r="L460" s="22" t="str">
        <x:f>IF(B460="","",ROUND(K460-H460,2))</x:f>
      </x:c>
      <x:c r="M460"/>
      <x:c r="N460" t="str">
        <x:f>IF(B460="","",IF(J460&lt;&gt;"Completed","Not counted",IF(H460&lt;=0,"CHECK TIME","OK")))</x:f>
      </x:c>
    </x:row>
    <x:row r="461">
      <x:c r="A461" t="str">
        <x:f>IF(B461="","",ROW()-1)</x:f>
      </x:c>
      <x:c r="B461" s="24"/>
      <x:c r="C461" t="str">
        <x:f>IF(B461="","",TEXT(B461,"mmm-yyyy"))</x:f>
      </x:c>
      <x:c r="D461" t="str">
        <x:f>IF(B461="","",TEXT(B461,"ddd"))</x:f>
      </x:c>
      <x:c r="E461" s="32"/>
      <x:c r="F461" s="32"/>
      <x:c r="G461"/>
      <x:c r="H461" s="22" t="n">
        <x:f>IF(OR(B461="",J461&lt;&gt;"Completed"),0,IF(AND(ISNUMBER(E461),ISNUMBER(F461)),ROUND(((F461-E461)+(F461&lt;E461))*24-(N(G461)/60),2),0))</x:f>
        <x:v>0</x:v>
      </x:c>
      <x:c r="I461" s="34" t="str">
        <x:f>IF(H461=0,"",H461/24)</x:f>
      </x:c>
      <x:c r="J461"/>
      <x:c r="K461" s="22" t="str">
        <x:f>IF(B461="","",START_HERE!$B$7)</x:f>
      </x:c>
      <x:c r="L461" s="22" t="str">
        <x:f>IF(B461="","",ROUND(K461-H461,2))</x:f>
      </x:c>
      <x:c r="M461"/>
      <x:c r="N461" t="str">
        <x:f>IF(B461="","",IF(J461&lt;&gt;"Completed","Not counted",IF(H461&lt;=0,"CHECK TIME","OK")))</x:f>
      </x:c>
    </x:row>
    <x:row r="462">
      <x:c r="A462" t="str">
        <x:f>IF(B462="","",ROW()-1)</x:f>
      </x:c>
      <x:c r="B462" s="24"/>
      <x:c r="C462" t="str">
        <x:f>IF(B462="","",TEXT(B462,"mmm-yyyy"))</x:f>
      </x:c>
      <x:c r="D462" t="str">
        <x:f>IF(B462="","",TEXT(B462,"ddd"))</x:f>
      </x:c>
      <x:c r="E462" s="32"/>
      <x:c r="F462" s="32"/>
      <x:c r="G462"/>
      <x:c r="H462" s="22" t="n">
        <x:f>IF(OR(B462="",J462&lt;&gt;"Completed"),0,IF(AND(ISNUMBER(E462),ISNUMBER(F462)),ROUND(((F462-E462)+(F462&lt;E462))*24-(N(G462)/60),2),0))</x:f>
        <x:v>0</x:v>
      </x:c>
      <x:c r="I462" s="34" t="str">
        <x:f>IF(H462=0,"",H462/24)</x:f>
      </x:c>
      <x:c r="J462"/>
      <x:c r="K462" s="22" t="str">
        <x:f>IF(B462="","",START_HERE!$B$7)</x:f>
      </x:c>
      <x:c r="L462" s="22" t="str">
        <x:f>IF(B462="","",ROUND(K462-H462,2))</x:f>
      </x:c>
      <x:c r="M462"/>
      <x:c r="N462" t="str">
        <x:f>IF(B462="","",IF(J462&lt;&gt;"Completed","Not counted",IF(H462&lt;=0,"CHECK TIME","OK")))</x:f>
      </x:c>
    </x:row>
    <x:row r="463">
      <x:c r="A463" t="str">
        <x:f>IF(B463="","",ROW()-1)</x:f>
      </x:c>
      <x:c r="B463" s="24"/>
      <x:c r="C463" t="str">
        <x:f>IF(B463="","",TEXT(B463,"mmm-yyyy"))</x:f>
      </x:c>
      <x:c r="D463" t="str">
        <x:f>IF(B463="","",TEXT(B463,"ddd"))</x:f>
      </x:c>
      <x:c r="E463" s="32"/>
      <x:c r="F463" s="32"/>
      <x:c r="G463"/>
      <x:c r="H463" s="22" t="n">
        <x:f>IF(OR(B463="",J463&lt;&gt;"Completed"),0,IF(AND(ISNUMBER(E463),ISNUMBER(F463)),ROUND(((F463-E463)+(F463&lt;E463))*24-(N(G463)/60),2),0))</x:f>
        <x:v>0</x:v>
      </x:c>
      <x:c r="I463" s="34" t="str">
        <x:f>IF(H463=0,"",H463/24)</x:f>
      </x:c>
      <x:c r="J463"/>
      <x:c r="K463" s="22" t="str">
        <x:f>IF(B463="","",START_HERE!$B$7)</x:f>
      </x:c>
      <x:c r="L463" s="22" t="str">
        <x:f>IF(B463="","",ROUND(K463-H463,2))</x:f>
      </x:c>
      <x:c r="M463"/>
      <x:c r="N463" t="str">
        <x:f>IF(B463="","",IF(J463&lt;&gt;"Completed","Not counted",IF(H463&lt;=0,"CHECK TIME","OK")))</x:f>
      </x:c>
    </x:row>
    <x:row r="464">
      <x:c r="A464" t="str">
        <x:f>IF(B464="","",ROW()-1)</x:f>
      </x:c>
      <x:c r="B464" s="24"/>
      <x:c r="C464" t="str">
        <x:f>IF(B464="","",TEXT(B464,"mmm-yyyy"))</x:f>
      </x:c>
      <x:c r="D464" t="str">
        <x:f>IF(B464="","",TEXT(B464,"ddd"))</x:f>
      </x:c>
      <x:c r="E464" s="32"/>
      <x:c r="F464" s="32"/>
      <x:c r="G464"/>
      <x:c r="H464" s="22" t="n">
        <x:f>IF(OR(B464="",J464&lt;&gt;"Completed"),0,IF(AND(ISNUMBER(E464),ISNUMBER(F464)),ROUND(((F464-E464)+(F464&lt;E464))*24-(N(G464)/60),2),0))</x:f>
        <x:v>0</x:v>
      </x:c>
      <x:c r="I464" s="34" t="str">
        <x:f>IF(H464=0,"",H464/24)</x:f>
      </x:c>
      <x:c r="J464"/>
      <x:c r="K464" s="22" t="str">
        <x:f>IF(B464="","",START_HERE!$B$7)</x:f>
      </x:c>
      <x:c r="L464" s="22" t="str">
        <x:f>IF(B464="","",ROUND(K464-H464,2))</x:f>
      </x:c>
      <x:c r="M464"/>
      <x:c r="N464" t="str">
        <x:f>IF(B464="","",IF(J464&lt;&gt;"Completed","Not counted",IF(H464&lt;=0,"CHECK TIME","OK")))</x:f>
      </x:c>
    </x:row>
    <x:row r="465">
      <x:c r="A465" t="str">
        <x:f>IF(B465="","",ROW()-1)</x:f>
      </x:c>
      <x:c r="B465" s="24"/>
      <x:c r="C465" t="str">
        <x:f>IF(B465="","",TEXT(B465,"mmm-yyyy"))</x:f>
      </x:c>
      <x:c r="D465" t="str">
        <x:f>IF(B465="","",TEXT(B465,"ddd"))</x:f>
      </x:c>
      <x:c r="E465" s="32"/>
      <x:c r="F465" s="32"/>
      <x:c r="G465"/>
      <x:c r="H465" s="22" t="n">
        <x:f>IF(OR(B465="",J465&lt;&gt;"Completed"),0,IF(AND(ISNUMBER(E465),ISNUMBER(F465)),ROUND(((F465-E465)+(F465&lt;E465))*24-(N(G465)/60),2),0))</x:f>
        <x:v>0</x:v>
      </x:c>
      <x:c r="I465" s="34" t="str">
        <x:f>IF(H465=0,"",H465/24)</x:f>
      </x:c>
      <x:c r="J465"/>
      <x:c r="K465" s="22" t="str">
        <x:f>IF(B465="","",START_HERE!$B$7)</x:f>
      </x:c>
      <x:c r="L465" s="22" t="str">
        <x:f>IF(B465="","",ROUND(K465-H465,2))</x:f>
      </x:c>
      <x:c r="M465"/>
      <x:c r="N465" t="str">
        <x:f>IF(B465="","",IF(J465&lt;&gt;"Completed","Not counted",IF(H465&lt;=0,"CHECK TIME","OK")))</x:f>
      </x:c>
    </x:row>
    <x:row r="466">
      <x:c r="A466" t="str">
        <x:f>IF(B466="","",ROW()-1)</x:f>
      </x:c>
      <x:c r="B466" s="24"/>
      <x:c r="C466" t="str">
        <x:f>IF(B466="","",TEXT(B466,"mmm-yyyy"))</x:f>
      </x:c>
      <x:c r="D466" t="str">
        <x:f>IF(B466="","",TEXT(B466,"ddd"))</x:f>
      </x:c>
      <x:c r="E466" s="32"/>
      <x:c r="F466" s="32"/>
      <x:c r="G466"/>
      <x:c r="H466" s="22" t="n">
        <x:f>IF(OR(B466="",J466&lt;&gt;"Completed"),0,IF(AND(ISNUMBER(E466),ISNUMBER(F466)),ROUND(((F466-E466)+(F466&lt;E466))*24-(N(G466)/60),2),0))</x:f>
        <x:v>0</x:v>
      </x:c>
      <x:c r="I466" s="34" t="str">
        <x:f>IF(H466=0,"",H466/24)</x:f>
      </x:c>
      <x:c r="J466"/>
      <x:c r="K466" s="22" t="str">
        <x:f>IF(B466="","",START_HERE!$B$7)</x:f>
      </x:c>
      <x:c r="L466" s="22" t="str">
        <x:f>IF(B466="","",ROUND(K466-H466,2))</x:f>
      </x:c>
      <x:c r="M466"/>
      <x:c r="N466" t="str">
        <x:f>IF(B466="","",IF(J466&lt;&gt;"Completed","Not counted",IF(H466&lt;=0,"CHECK TIME","OK")))</x:f>
      </x:c>
    </x:row>
    <x:row r="467">
      <x:c r="A467" t="str">
        <x:f>IF(B467="","",ROW()-1)</x:f>
      </x:c>
      <x:c r="B467" s="24"/>
      <x:c r="C467" t="str">
        <x:f>IF(B467="","",TEXT(B467,"mmm-yyyy"))</x:f>
      </x:c>
      <x:c r="D467" t="str">
        <x:f>IF(B467="","",TEXT(B467,"ddd"))</x:f>
      </x:c>
      <x:c r="E467" s="32"/>
      <x:c r="F467" s="32"/>
      <x:c r="G467"/>
      <x:c r="H467" s="22" t="n">
        <x:f>IF(OR(B467="",J467&lt;&gt;"Completed"),0,IF(AND(ISNUMBER(E467),ISNUMBER(F467)),ROUND(((F467-E467)+(F467&lt;E467))*24-(N(G467)/60),2),0))</x:f>
        <x:v>0</x:v>
      </x:c>
      <x:c r="I467" s="34" t="str">
        <x:f>IF(H467=0,"",H467/24)</x:f>
      </x:c>
      <x:c r="J467"/>
      <x:c r="K467" s="22" t="str">
        <x:f>IF(B467="","",START_HERE!$B$7)</x:f>
      </x:c>
      <x:c r="L467" s="22" t="str">
        <x:f>IF(B467="","",ROUND(K467-H467,2))</x:f>
      </x:c>
      <x:c r="M467"/>
      <x:c r="N467" t="str">
        <x:f>IF(B467="","",IF(J467&lt;&gt;"Completed","Not counted",IF(H467&lt;=0,"CHECK TIME","OK")))</x:f>
      </x:c>
    </x:row>
    <x:row r="468">
      <x:c r="A468" t="str">
        <x:f>IF(B468="","",ROW()-1)</x:f>
      </x:c>
      <x:c r="B468" s="24"/>
      <x:c r="C468" t="str">
        <x:f>IF(B468="","",TEXT(B468,"mmm-yyyy"))</x:f>
      </x:c>
      <x:c r="D468" t="str">
        <x:f>IF(B468="","",TEXT(B468,"ddd"))</x:f>
      </x:c>
      <x:c r="E468" s="32"/>
      <x:c r="F468" s="32"/>
      <x:c r="G468"/>
      <x:c r="H468" s="22" t="n">
        <x:f>IF(OR(B468="",J468&lt;&gt;"Completed"),0,IF(AND(ISNUMBER(E468),ISNUMBER(F468)),ROUND(((F468-E468)+(F468&lt;E468))*24-(N(G468)/60),2),0))</x:f>
        <x:v>0</x:v>
      </x:c>
      <x:c r="I468" s="34" t="str">
        <x:f>IF(H468=0,"",H468/24)</x:f>
      </x:c>
      <x:c r="J468"/>
      <x:c r="K468" s="22" t="str">
        <x:f>IF(B468="","",START_HERE!$B$7)</x:f>
      </x:c>
      <x:c r="L468" s="22" t="str">
        <x:f>IF(B468="","",ROUND(K468-H468,2))</x:f>
      </x:c>
      <x:c r="M468"/>
      <x:c r="N468" t="str">
        <x:f>IF(B468="","",IF(J468&lt;&gt;"Completed","Not counted",IF(H468&lt;=0,"CHECK TIME","OK")))</x:f>
      </x:c>
    </x:row>
    <x:row r="469">
      <x:c r="A469" t="str">
        <x:f>IF(B469="","",ROW()-1)</x:f>
      </x:c>
      <x:c r="B469" s="24"/>
      <x:c r="C469" t="str">
        <x:f>IF(B469="","",TEXT(B469,"mmm-yyyy"))</x:f>
      </x:c>
      <x:c r="D469" t="str">
        <x:f>IF(B469="","",TEXT(B469,"ddd"))</x:f>
      </x:c>
      <x:c r="E469" s="32"/>
      <x:c r="F469" s="32"/>
      <x:c r="G469"/>
      <x:c r="H469" s="22" t="n">
        <x:f>IF(OR(B469="",J469&lt;&gt;"Completed"),0,IF(AND(ISNUMBER(E469),ISNUMBER(F469)),ROUND(((F469-E469)+(F469&lt;E469))*24-(N(G469)/60),2),0))</x:f>
        <x:v>0</x:v>
      </x:c>
      <x:c r="I469" s="34" t="str">
        <x:f>IF(H469=0,"",H469/24)</x:f>
      </x:c>
      <x:c r="J469"/>
      <x:c r="K469" s="22" t="str">
        <x:f>IF(B469="","",START_HERE!$B$7)</x:f>
      </x:c>
      <x:c r="L469" s="22" t="str">
        <x:f>IF(B469="","",ROUND(K469-H469,2))</x:f>
      </x:c>
      <x:c r="M469"/>
      <x:c r="N469" t="str">
        <x:f>IF(B469="","",IF(J469&lt;&gt;"Completed","Not counted",IF(H469&lt;=0,"CHECK TIME","OK")))</x:f>
      </x:c>
    </x:row>
    <x:row r="470">
      <x:c r="A470" t="str">
        <x:f>IF(B470="","",ROW()-1)</x:f>
      </x:c>
      <x:c r="B470" s="24"/>
      <x:c r="C470" t="str">
        <x:f>IF(B470="","",TEXT(B470,"mmm-yyyy"))</x:f>
      </x:c>
      <x:c r="D470" t="str">
        <x:f>IF(B470="","",TEXT(B470,"ddd"))</x:f>
      </x:c>
      <x:c r="E470" s="32"/>
      <x:c r="F470" s="32"/>
      <x:c r="G470"/>
      <x:c r="H470" s="22" t="n">
        <x:f>IF(OR(B470="",J470&lt;&gt;"Completed"),0,IF(AND(ISNUMBER(E470),ISNUMBER(F470)),ROUND(((F470-E470)+(F470&lt;E470))*24-(N(G470)/60),2),0))</x:f>
        <x:v>0</x:v>
      </x:c>
      <x:c r="I470" s="34" t="str">
        <x:f>IF(H470=0,"",H470/24)</x:f>
      </x:c>
      <x:c r="J470"/>
      <x:c r="K470" s="22" t="str">
        <x:f>IF(B470="","",START_HERE!$B$7)</x:f>
      </x:c>
      <x:c r="L470" s="22" t="str">
        <x:f>IF(B470="","",ROUND(K470-H470,2))</x:f>
      </x:c>
      <x:c r="M470"/>
      <x:c r="N470" t="str">
        <x:f>IF(B470="","",IF(J470&lt;&gt;"Completed","Not counted",IF(H470&lt;=0,"CHECK TIME","OK")))</x:f>
      </x:c>
    </x:row>
    <x:row r="471">
      <x:c r="A471" t="str">
        <x:f>IF(B471="","",ROW()-1)</x:f>
      </x:c>
      <x:c r="B471" s="24"/>
      <x:c r="C471" t="str">
        <x:f>IF(B471="","",TEXT(B471,"mmm-yyyy"))</x:f>
      </x:c>
      <x:c r="D471" t="str">
        <x:f>IF(B471="","",TEXT(B471,"ddd"))</x:f>
      </x:c>
      <x:c r="E471" s="32"/>
      <x:c r="F471" s="32"/>
      <x:c r="G471"/>
      <x:c r="H471" s="22" t="n">
        <x:f>IF(OR(B471="",J471&lt;&gt;"Completed"),0,IF(AND(ISNUMBER(E471),ISNUMBER(F471)),ROUND(((F471-E471)+(F471&lt;E471))*24-(N(G471)/60),2),0))</x:f>
        <x:v>0</x:v>
      </x:c>
      <x:c r="I471" s="34" t="str">
        <x:f>IF(H471=0,"",H471/24)</x:f>
      </x:c>
      <x:c r="J471"/>
      <x:c r="K471" s="22" t="str">
        <x:f>IF(B471="","",START_HERE!$B$7)</x:f>
      </x:c>
      <x:c r="L471" s="22" t="str">
        <x:f>IF(B471="","",ROUND(K471-H471,2))</x:f>
      </x:c>
      <x:c r="M471"/>
      <x:c r="N471" t="str">
        <x:f>IF(B471="","",IF(J471&lt;&gt;"Completed","Not counted",IF(H471&lt;=0,"CHECK TIME","OK")))</x:f>
      </x:c>
    </x:row>
    <x:row r="472">
      <x:c r="A472" t="str">
        <x:f>IF(B472="","",ROW()-1)</x:f>
      </x:c>
      <x:c r="B472" s="24"/>
      <x:c r="C472" t="str">
        <x:f>IF(B472="","",TEXT(B472,"mmm-yyyy"))</x:f>
      </x:c>
      <x:c r="D472" t="str">
        <x:f>IF(B472="","",TEXT(B472,"ddd"))</x:f>
      </x:c>
      <x:c r="E472" s="32"/>
      <x:c r="F472" s="32"/>
      <x:c r="G472"/>
      <x:c r="H472" s="22" t="n">
        <x:f>IF(OR(B472="",J472&lt;&gt;"Completed"),0,IF(AND(ISNUMBER(E472),ISNUMBER(F472)),ROUND(((F472-E472)+(F472&lt;E472))*24-(N(G472)/60),2),0))</x:f>
        <x:v>0</x:v>
      </x:c>
      <x:c r="I472" s="34" t="str">
        <x:f>IF(H472=0,"",H472/24)</x:f>
      </x:c>
      <x:c r="J472"/>
      <x:c r="K472" s="22" t="str">
        <x:f>IF(B472="","",START_HERE!$B$7)</x:f>
      </x:c>
      <x:c r="L472" s="22" t="str">
        <x:f>IF(B472="","",ROUND(K472-H472,2))</x:f>
      </x:c>
      <x:c r="M472"/>
      <x:c r="N472" t="str">
        <x:f>IF(B472="","",IF(J472&lt;&gt;"Completed","Not counted",IF(H472&lt;=0,"CHECK TIME","OK")))</x:f>
      </x:c>
    </x:row>
    <x:row r="473">
      <x:c r="A473" t="str">
        <x:f>IF(B473="","",ROW()-1)</x:f>
      </x:c>
      <x:c r="B473" s="24"/>
      <x:c r="C473" t="str">
        <x:f>IF(B473="","",TEXT(B473,"mmm-yyyy"))</x:f>
      </x:c>
      <x:c r="D473" t="str">
        <x:f>IF(B473="","",TEXT(B473,"ddd"))</x:f>
      </x:c>
      <x:c r="E473" s="32"/>
      <x:c r="F473" s="32"/>
      <x:c r="G473"/>
      <x:c r="H473" s="22" t="n">
        <x:f>IF(OR(B473="",J473&lt;&gt;"Completed"),0,IF(AND(ISNUMBER(E473),ISNUMBER(F473)),ROUND(((F473-E473)+(F473&lt;E473))*24-(N(G473)/60),2),0))</x:f>
        <x:v>0</x:v>
      </x:c>
      <x:c r="I473" s="34" t="str">
        <x:f>IF(H473=0,"",H473/24)</x:f>
      </x:c>
      <x:c r="J473"/>
      <x:c r="K473" s="22" t="str">
        <x:f>IF(B473="","",START_HERE!$B$7)</x:f>
      </x:c>
      <x:c r="L473" s="22" t="str">
        <x:f>IF(B473="","",ROUND(K473-H473,2))</x:f>
      </x:c>
      <x:c r="M473"/>
      <x:c r="N473" t="str">
        <x:f>IF(B473="","",IF(J473&lt;&gt;"Completed","Not counted",IF(H473&lt;=0,"CHECK TIME","OK")))</x:f>
      </x:c>
    </x:row>
    <x:row r="474">
      <x:c r="A474" t="str">
        <x:f>IF(B474="","",ROW()-1)</x:f>
      </x:c>
      <x:c r="B474" s="24"/>
      <x:c r="C474" t="str">
        <x:f>IF(B474="","",TEXT(B474,"mmm-yyyy"))</x:f>
      </x:c>
      <x:c r="D474" t="str">
        <x:f>IF(B474="","",TEXT(B474,"ddd"))</x:f>
      </x:c>
      <x:c r="E474" s="32"/>
      <x:c r="F474" s="32"/>
      <x:c r="G474"/>
      <x:c r="H474" s="22" t="n">
        <x:f>IF(OR(B474="",J474&lt;&gt;"Completed"),0,IF(AND(ISNUMBER(E474),ISNUMBER(F474)),ROUND(((F474-E474)+(F474&lt;E474))*24-(N(G474)/60),2),0))</x:f>
        <x:v>0</x:v>
      </x:c>
      <x:c r="I474" s="34" t="str">
        <x:f>IF(H474=0,"",H474/24)</x:f>
      </x:c>
      <x:c r="J474"/>
      <x:c r="K474" s="22" t="str">
        <x:f>IF(B474="","",START_HERE!$B$7)</x:f>
      </x:c>
      <x:c r="L474" s="22" t="str">
        <x:f>IF(B474="","",ROUND(K474-H474,2))</x:f>
      </x:c>
      <x:c r="M474"/>
      <x:c r="N474" t="str">
        <x:f>IF(B474="","",IF(J474&lt;&gt;"Completed","Not counted",IF(H474&lt;=0,"CHECK TIME","OK")))</x:f>
      </x:c>
    </x:row>
    <x:row r="475">
      <x:c r="A475" t="str">
        <x:f>IF(B475="","",ROW()-1)</x:f>
      </x:c>
      <x:c r="B475" s="24"/>
      <x:c r="C475" t="str">
        <x:f>IF(B475="","",TEXT(B475,"mmm-yyyy"))</x:f>
      </x:c>
      <x:c r="D475" t="str">
        <x:f>IF(B475="","",TEXT(B475,"ddd"))</x:f>
      </x:c>
      <x:c r="E475" s="32"/>
      <x:c r="F475" s="32"/>
      <x:c r="G475"/>
      <x:c r="H475" s="22" t="n">
        <x:f>IF(OR(B475="",J475&lt;&gt;"Completed"),0,IF(AND(ISNUMBER(E475),ISNUMBER(F475)),ROUND(((F475-E475)+(F475&lt;E475))*24-(N(G475)/60),2),0))</x:f>
        <x:v>0</x:v>
      </x:c>
      <x:c r="I475" s="34" t="str">
        <x:f>IF(H475=0,"",H475/24)</x:f>
      </x:c>
      <x:c r="J475"/>
      <x:c r="K475" s="22" t="str">
        <x:f>IF(B475="","",START_HERE!$B$7)</x:f>
      </x:c>
      <x:c r="L475" s="22" t="str">
        <x:f>IF(B475="","",ROUND(K475-H475,2))</x:f>
      </x:c>
      <x:c r="M475"/>
      <x:c r="N475" t="str">
        <x:f>IF(B475="","",IF(J475&lt;&gt;"Completed","Not counted",IF(H475&lt;=0,"CHECK TIME","OK")))</x:f>
      </x:c>
    </x:row>
    <x:row r="476">
      <x:c r="A476" t="str">
        <x:f>IF(B476="","",ROW()-1)</x:f>
      </x:c>
      <x:c r="B476" s="24"/>
      <x:c r="C476" t="str">
        <x:f>IF(B476="","",TEXT(B476,"mmm-yyyy"))</x:f>
      </x:c>
      <x:c r="D476" t="str">
        <x:f>IF(B476="","",TEXT(B476,"ddd"))</x:f>
      </x:c>
      <x:c r="E476" s="32"/>
      <x:c r="F476" s="32"/>
      <x:c r="G476"/>
      <x:c r="H476" s="22" t="n">
        <x:f>IF(OR(B476="",J476&lt;&gt;"Completed"),0,IF(AND(ISNUMBER(E476),ISNUMBER(F476)),ROUND(((F476-E476)+(F476&lt;E476))*24-(N(G476)/60),2),0))</x:f>
        <x:v>0</x:v>
      </x:c>
      <x:c r="I476" s="34" t="str">
        <x:f>IF(H476=0,"",H476/24)</x:f>
      </x:c>
      <x:c r="J476"/>
      <x:c r="K476" s="22" t="str">
        <x:f>IF(B476="","",START_HERE!$B$7)</x:f>
      </x:c>
      <x:c r="L476" s="22" t="str">
        <x:f>IF(B476="","",ROUND(K476-H476,2))</x:f>
      </x:c>
      <x:c r="M476"/>
      <x:c r="N476" t="str">
        <x:f>IF(B476="","",IF(J476&lt;&gt;"Completed","Not counted",IF(H476&lt;=0,"CHECK TIME","OK")))</x:f>
      </x:c>
    </x:row>
    <x:row r="477">
      <x:c r="A477" t="str">
        <x:f>IF(B477="","",ROW()-1)</x:f>
      </x:c>
      <x:c r="B477" s="24"/>
      <x:c r="C477" t="str">
        <x:f>IF(B477="","",TEXT(B477,"mmm-yyyy"))</x:f>
      </x:c>
      <x:c r="D477" t="str">
        <x:f>IF(B477="","",TEXT(B477,"ddd"))</x:f>
      </x:c>
      <x:c r="E477" s="32"/>
      <x:c r="F477" s="32"/>
      <x:c r="G477"/>
      <x:c r="H477" s="22" t="n">
        <x:f>IF(OR(B477="",J477&lt;&gt;"Completed"),0,IF(AND(ISNUMBER(E477),ISNUMBER(F477)),ROUND(((F477-E477)+(F477&lt;E477))*24-(N(G477)/60),2),0))</x:f>
        <x:v>0</x:v>
      </x:c>
      <x:c r="I477" s="34" t="str">
        <x:f>IF(H477=0,"",H477/24)</x:f>
      </x:c>
      <x:c r="J477"/>
      <x:c r="K477" s="22" t="str">
        <x:f>IF(B477="","",START_HERE!$B$7)</x:f>
      </x:c>
      <x:c r="L477" s="22" t="str">
        <x:f>IF(B477="","",ROUND(K477-H477,2))</x:f>
      </x:c>
      <x:c r="M477"/>
      <x:c r="N477" t="str">
        <x:f>IF(B477="","",IF(J477&lt;&gt;"Completed","Not counted",IF(H477&lt;=0,"CHECK TIME","OK")))</x:f>
      </x:c>
    </x:row>
    <x:row r="478">
      <x:c r="A478" t="str">
        <x:f>IF(B478="","",ROW()-1)</x:f>
      </x:c>
      <x:c r="B478" s="24"/>
      <x:c r="C478" t="str">
        <x:f>IF(B478="","",TEXT(B478,"mmm-yyyy"))</x:f>
      </x:c>
      <x:c r="D478" t="str">
        <x:f>IF(B478="","",TEXT(B478,"ddd"))</x:f>
      </x:c>
      <x:c r="E478" s="32"/>
      <x:c r="F478" s="32"/>
      <x:c r="G478"/>
      <x:c r="H478" s="22" t="n">
        <x:f>IF(OR(B478="",J478&lt;&gt;"Completed"),0,IF(AND(ISNUMBER(E478),ISNUMBER(F478)),ROUND(((F478-E478)+(F478&lt;E478))*24-(N(G478)/60),2),0))</x:f>
        <x:v>0</x:v>
      </x:c>
      <x:c r="I478" s="34" t="str">
        <x:f>IF(H478=0,"",H478/24)</x:f>
      </x:c>
      <x:c r="J478"/>
      <x:c r="K478" s="22" t="str">
        <x:f>IF(B478="","",START_HERE!$B$7)</x:f>
      </x:c>
      <x:c r="L478" s="22" t="str">
        <x:f>IF(B478="","",ROUND(K478-H478,2))</x:f>
      </x:c>
      <x:c r="M478"/>
      <x:c r="N478" t="str">
        <x:f>IF(B478="","",IF(J478&lt;&gt;"Completed","Not counted",IF(H478&lt;=0,"CHECK TIME","OK")))</x:f>
      </x:c>
    </x:row>
    <x:row r="479">
      <x:c r="A479" t="str">
        <x:f>IF(B479="","",ROW()-1)</x:f>
      </x:c>
      <x:c r="B479" s="24"/>
      <x:c r="C479" t="str">
        <x:f>IF(B479="","",TEXT(B479,"mmm-yyyy"))</x:f>
      </x:c>
      <x:c r="D479" t="str">
        <x:f>IF(B479="","",TEXT(B479,"ddd"))</x:f>
      </x:c>
      <x:c r="E479" s="32"/>
      <x:c r="F479" s="32"/>
      <x:c r="G479"/>
      <x:c r="H479" s="22" t="n">
        <x:f>IF(OR(B479="",J479&lt;&gt;"Completed"),0,IF(AND(ISNUMBER(E479),ISNUMBER(F479)),ROUND(((F479-E479)+(F479&lt;E479))*24-(N(G479)/60),2),0))</x:f>
        <x:v>0</x:v>
      </x:c>
      <x:c r="I479" s="34" t="str">
        <x:f>IF(H479=0,"",H479/24)</x:f>
      </x:c>
      <x:c r="J479"/>
      <x:c r="K479" s="22" t="str">
        <x:f>IF(B479="","",START_HERE!$B$7)</x:f>
      </x:c>
      <x:c r="L479" s="22" t="str">
        <x:f>IF(B479="","",ROUND(K479-H479,2))</x:f>
      </x:c>
      <x:c r="M479"/>
      <x:c r="N479" t="str">
        <x:f>IF(B479="","",IF(J479&lt;&gt;"Completed","Not counted",IF(H479&lt;=0,"CHECK TIME","OK")))</x:f>
      </x:c>
    </x:row>
    <x:row r="480">
      <x:c r="A480" t="str">
        <x:f>IF(B480="","",ROW()-1)</x:f>
      </x:c>
      <x:c r="B480" s="24"/>
      <x:c r="C480" t="str">
        <x:f>IF(B480="","",TEXT(B480,"mmm-yyyy"))</x:f>
      </x:c>
      <x:c r="D480" t="str">
        <x:f>IF(B480="","",TEXT(B480,"ddd"))</x:f>
      </x:c>
      <x:c r="E480" s="32"/>
      <x:c r="F480" s="32"/>
      <x:c r="G480"/>
      <x:c r="H480" s="22" t="n">
        <x:f>IF(OR(B480="",J480&lt;&gt;"Completed"),0,IF(AND(ISNUMBER(E480),ISNUMBER(F480)),ROUND(((F480-E480)+(F480&lt;E480))*24-(N(G480)/60),2),0))</x:f>
        <x:v>0</x:v>
      </x:c>
      <x:c r="I480" s="34" t="str">
        <x:f>IF(H480=0,"",H480/24)</x:f>
      </x:c>
      <x:c r="J480"/>
      <x:c r="K480" s="22" t="str">
        <x:f>IF(B480="","",START_HERE!$B$7)</x:f>
      </x:c>
      <x:c r="L480" s="22" t="str">
        <x:f>IF(B480="","",ROUND(K480-H480,2))</x:f>
      </x:c>
      <x:c r="M480"/>
      <x:c r="N480" t="str">
        <x:f>IF(B480="","",IF(J480&lt;&gt;"Completed","Not counted",IF(H480&lt;=0,"CHECK TIME","OK")))</x:f>
      </x:c>
    </x:row>
    <x:row r="481">
      <x:c r="A481" t="str">
        <x:f>IF(B481="","",ROW()-1)</x:f>
      </x:c>
      <x:c r="B481" s="24"/>
      <x:c r="C481" t="str">
        <x:f>IF(B481="","",TEXT(B481,"mmm-yyyy"))</x:f>
      </x:c>
      <x:c r="D481" t="str">
        <x:f>IF(B481="","",TEXT(B481,"ddd"))</x:f>
      </x:c>
      <x:c r="E481" s="32"/>
      <x:c r="F481" s="32"/>
      <x:c r="G481"/>
      <x:c r="H481" s="22" t="n">
        <x:f>IF(OR(B481="",J481&lt;&gt;"Completed"),0,IF(AND(ISNUMBER(E481),ISNUMBER(F481)),ROUND(((F481-E481)+(F481&lt;E481))*24-(N(G481)/60),2),0))</x:f>
        <x:v>0</x:v>
      </x:c>
      <x:c r="I481" s="34" t="str">
        <x:f>IF(H481=0,"",H481/24)</x:f>
      </x:c>
      <x:c r="J481"/>
      <x:c r="K481" s="22" t="str">
        <x:f>IF(B481="","",START_HERE!$B$7)</x:f>
      </x:c>
      <x:c r="L481" s="22" t="str">
        <x:f>IF(B481="","",ROUND(K481-H481,2))</x:f>
      </x:c>
      <x:c r="M481"/>
      <x:c r="N481" t="str">
        <x:f>IF(B481="","",IF(J481&lt;&gt;"Completed","Not counted",IF(H481&lt;=0,"CHECK TIME","OK")))</x:f>
      </x:c>
    </x:row>
    <x:row r="482">
      <x:c r="A482" t="str">
        <x:f>IF(B482="","",ROW()-1)</x:f>
      </x:c>
      <x:c r="B482" s="24"/>
      <x:c r="C482" t="str">
        <x:f>IF(B482="","",TEXT(B482,"mmm-yyyy"))</x:f>
      </x:c>
      <x:c r="D482" t="str">
        <x:f>IF(B482="","",TEXT(B482,"ddd"))</x:f>
      </x:c>
      <x:c r="E482" s="32"/>
      <x:c r="F482" s="32"/>
      <x:c r="G482"/>
      <x:c r="H482" s="22" t="n">
        <x:f>IF(OR(B482="",J482&lt;&gt;"Completed"),0,IF(AND(ISNUMBER(E482),ISNUMBER(F482)),ROUND(((F482-E482)+(F482&lt;E482))*24-(N(G482)/60),2),0))</x:f>
        <x:v>0</x:v>
      </x:c>
      <x:c r="I482" s="34" t="str">
        <x:f>IF(H482=0,"",H482/24)</x:f>
      </x:c>
      <x:c r="J482"/>
      <x:c r="K482" s="22" t="str">
        <x:f>IF(B482="","",START_HERE!$B$7)</x:f>
      </x:c>
      <x:c r="L482" s="22" t="str">
        <x:f>IF(B482="","",ROUND(K482-H482,2))</x:f>
      </x:c>
      <x:c r="M482"/>
      <x:c r="N482" t="str">
        <x:f>IF(B482="","",IF(J482&lt;&gt;"Completed","Not counted",IF(H482&lt;=0,"CHECK TIME","OK")))</x:f>
      </x:c>
    </x:row>
    <x:row r="483">
      <x:c r="A483" t="str">
        <x:f>IF(B483="","",ROW()-1)</x:f>
      </x:c>
      <x:c r="B483" s="24"/>
      <x:c r="C483" t="str">
        <x:f>IF(B483="","",TEXT(B483,"mmm-yyyy"))</x:f>
      </x:c>
      <x:c r="D483" t="str">
        <x:f>IF(B483="","",TEXT(B483,"ddd"))</x:f>
      </x:c>
      <x:c r="E483" s="32"/>
      <x:c r="F483" s="32"/>
      <x:c r="G483"/>
      <x:c r="H483" s="22" t="n">
        <x:f>IF(OR(B483="",J483&lt;&gt;"Completed"),0,IF(AND(ISNUMBER(E483),ISNUMBER(F483)),ROUND(((F483-E483)+(F483&lt;E483))*24-(N(G483)/60),2),0))</x:f>
        <x:v>0</x:v>
      </x:c>
      <x:c r="I483" s="34" t="str">
        <x:f>IF(H483=0,"",H483/24)</x:f>
      </x:c>
      <x:c r="J483"/>
      <x:c r="K483" s="22" t="str">
        <x:f>IF(B483="","",START_HERE!$B$7)</x:f>
      </x:c>
      <x:c r="L483" s="22" t="str">
        <x:f>IF(B483="","",ROUND(K483-H483,2))</x:f>
      </x:c>
      <x:c r="M483"/>
      <x:c r="N483" t="str">
        <x:f>IF(B483="","",IF(J483&lt;&gt;"Completed","Not counted",IF(H483&lt;=0,"CHECK TIME","OK")))</x:f>
      </x:c>
    </x:row>
    <x:row r="484">
      <x:c r="A484" t="str">
        <x:f>IF(B484="","",ROW()-1)</x:f>
      </x:c>
      <x:c r="B484" s="24"/>
      <x:c r="C484" t="str">
        <x:f>IF(B484="","",TEXT(B484,"mmm-yyyy"))</x:f>
      </x:c>
      <x:c r="D484" t="str">
        <x:f>IF(B484="","",TEXT(B484,"ddd"))</x:f>
      </x:c>
      <x:c r="E484" s="32"/>
      <x:c r="F484" s="32"/>
      <x:c r="G484"/>
      <x:c r="H484" s="22" t="n">
        <x:f>IF(OR(B484="",J484&lt;&gt;"Completed"),0,IF(AND(ISNUMBER(E484),ISNUMBER(F484)),ROUND(((F484-E484)+(F484&lt;E484))*24-(N(G484)/60),2),0))</x:f>
        <x:v>0</x:v>
      </x:c>
      <x:c r="I484" s="34" t="str">
        <x:f>IF(H484=0,"",H484/24)</x:f>
      </x:c>
      <x:c r="J484"/>
      <x:c r="K484" s="22" t="str">
        <x:f>IF(B484="","",START_HERE!$B$7)</x:f>
      </x:c>
      <x:c r="L484" s="22" t="str">
        <x:f>IF(B484="","",ROUND(K484-H484,2))</x:f>
      </x:c>
      <x:c r="M484"/>
      <x:c r="N484" t="str">
        <x:f>IF(B484="","",IF(J484&lt;&gt;"Completed","Not counted",IF(H484&lt;=0,"CHECK TIME","OK")))</x:f>
      </x:c>
    </x:row>
    <x:row r="485">
      <x:c r="A485" t="str">
        <x:f>IF(B485="","",ROW()-1)</x:f>
      </x:c>
      <x:c r="B485" s="24"/>
      <x:c r="C485" t="str">
        <x:f>IF(B485="","",TEXT(B485,"mmm-yyyy"))</x:f>
      </x:c>
      <x:c r="D485" t="str">
        <x:f>IF(B485="","",TEXT(B485,"ddd"))</x:f>
      </x:c>
      <x:c r="E485" s="32"/>
      <x:c r="F485" s="32"/>
      <x:c r="G485"/>
      <x:c r="H485" s="22" t="n">
        <x:f>IF(OR(B485="",J485&lt;&gt;"Completed"),0,IF(AND(ISNUMBER(E485),ISNUMBER(F485)),ROUND(((F485-E485)+(F485&lt;E485))*24-(N(G485)/60),2),0))</x:f>
        <x:v>0</x:v>
      </x:c>
      <x:c r="I485" s="34" t="str">
        <x:f>IF(H485=0,"",H485/24)</x:f>
      </x:c>
      <x:c r="J485"/>
      <x:c r="K485" s="22" t="str">
        <x:f>IF(B485="","",START_HERE!$B$7)</x:f>
      </x:c>
      <x:c r="L485" s="22" t="str">
        <x:f>IF(B485="","",ROUND(K485-H485,2))</x:f>
      </x:c>
      <x:c r="M485"/>
      <x:c r="N485" t="str">
        <x:f>IF(B485="","",IF(J485&lt;&gt;"Completed","Not counted",IF(H485&lt;=0,"CHECK TIME","OK")))</x:f>
      </x:c>
    </x:row>
    <x:row r="486">
      <x:c r="A486" t="str">
        <x:f>IF(B486="","",ROW()-1)</x:f>
      </x:c>
      <x:c r="B486" s="24"/>
      <x:c r="C486" t="str">
        <x:f>IF(B486="","",TEXT(B486,"mmm-yyyy"))</x:f>
      </x:c>
      <x:c r="D486" t="str">
        <x:f>IF(B486="","",TEXT(B486,"ddd"))</x:f>
      </x:c>
      <x:c r="E486" s="32"/>
      <x:c r="F486" s="32"/>
      <x:c r="G486"/>
      <x:c r="H486" s="22" t="n">
        <x:f>IF(OR(B486="",J486&lt;&gt;"Completed"),0,IF(AND(ISNUMBER(E486),ISNUMBER(F486)),ROUND(((F486-E486)+(F486&lt;E486))*24-(N(G486)/60),2),0))</x:f>
        <x:v>0</x:v>
      </x:c>
      <x:c r="I486" s="34" t="str">
        <x:f>IF(H486=0,"",H486/24)</x:f>
      </x:c>
      <x:c r="J486"/>
      <x:c r="K486" s="22" t="str">
        <x:f>IF(B486="","",START_HERE!$B$7)</x:f>
      </x:c>
      <x:c r="L486" s="22" t="str">
        <x:f>IF(B486="","",ROUND(K486-H486,2))</x:f>
      </x:c>
      <x:c r="M486"/>
      <x:c r="N486" t="str">
        <x:f>IF(B486="","",IF(J486&lt;&gt;"Completed","Not counted",IF(H486&lt;=0,"CHECK TIME","OK")))</x:f>
      </x:c>
    </x:row>
    <x:row r="487">
      <x:c r="A487" t="str">
        <x:f>IF(B487="","",ROW()-1)</x:f>
      </x:c>
      <x:c r="B487" s="24"/>
      <x:c r="C487" t="str">
        <x:f>IF(B487="","",TEXT(B487,"mmm-yyyy"))</x:f>
      </x:c>
      <x:c r="D487" t="str">
        <x:f>IF(B487="","",TEXT(B487,"ddd"))</x:f>
      </x:c>
      <x:c r="E487" s="32"/>
      <x:c r="F487" s="32"/>
      <x:c r="G487"/>
      <x:c r="H487" s="22" t="n">
        <x:f>IF(OR(B487="",J487&lt;&gt;"Completed"),0,IF(AND(ISNUMBER(E487),ISNUMBER(F487)),ROUND(((F487-E487)+(F487&lt;E487))*24-(N(G487)/60),2),0))</x:f>
        <x:v>0</x:v>
      </x:c>
      <x:c r="I487" s="34" t="str">
        <x:f>IF(H487=0,"",H487/24)</x:f>
      </x:c>
      <x:c r="J487"/>
      <x:c r="K487" s="22" t="str">
        <x:f>IF(B487="","",START_HERE!$B$7)</x:f>
      </x:c>
      <x:c r="L487" s="22" t="str">
        <x:f>IF(B487="","",ROUND(K487-H487,2))</x:f>
      </x:c>
      <x:c r="M487"/>
      <x:c r="N487" t="str">
        <x:f>IF(B487="","",IF(J487&lt;&gt;"Completed","Not counted",IF(H487&lt;=0,"CHECK TIME","OK")))</x:f>
      </x:c>
    </x:row>
    <x:row r="488">
      <x:c r="A488" t="str">
        <x:f>IF(B488="","",ROW()-1)</x:f>
      </x:c>
      <x:c r="B488" s="24"/>
      <x:c r="C488" t="str">
        <x:f>IF(B488="","",TEXT(B488,"mmm-yyyy"))</x:f>
      </x:c>
      <x:c r="D488" t="str">
        <x:f>IF(B488="","",TEXT(B488,"ddd"))</x:f>
      </x:c>
      <x:c r="E488" s="32"/>
      <x:c r="F488" s="32"/>
      <x:c r="G488"/>
      <x:c r="H488" s="22" t="n">
        <x:f>IF(OR(B488="",J488&lt;&gt;"Completed"),0,IF(AND(ISNUMBER(E488),ISNUMBER(F488)),ROUND(((F488-E488)+(F488&lt;E488))*24-(N(G488)/60),2),0))</x:f>
        <x:v>0</x:v>
      </x:c>
      <x:c r="I488" s="34" t="str">
        <x:f>IF(H488=0,"",H488/24)</x:f>
      </x:c>
      <x:c r="J488"/>
      <x:c r="K488" s="22" t="str">
        <x:f>IF(B488="","",START_HERE!$B$7)</x:f>
      </x:c>
      <x:c r="L488" s="22" t="str">
        <x:f>IF(B488="","",ROUND(K488-H488,2))</x:f>
      </x:c>
      <x:c r="M488"/>
      <x:c r="N488" t="str">
        <x:f>IF(B488="","",IF(J488&lt;&gt;"Completed","Not counted",IF(H488&lt;=0,"CHECK TIME","OK")))</x:f>
      </x:c>
    </x:row>
    <x:row r="489">
      <x:c r="A489" t="str">
        <x:f>IF(B489="","",ROW()-1)</x:f>
      </x:c>
      <x:c r="B489" s="24"/>
      <x:c r="C489" t="str">
        <x:f>IF(B489="","",TEXT(B489,"mmm-yyyy"))</x:f>
      </x:c>
      <x:c r="D489" t="str">
        <x:f>IF(B489="","",TEXT(B489,"ddd"))</x:f>
      </x:c>
      <x:c r="E489" s="32"/>
      <x:c r="F489" s="32"/>
      <x:c r="G489"/>
      <x:c r="H489" s="22" t="n">
        <x:f>IF(OR(B489="",J489&lt;&gt;"Completed"),0,IF(AND(ISNUMBER(E489),ISNUMBER(F489)),ROUND(((F489-E489)+(F489&lt;E489))*24-(N(G489)/60),2),0))</x:f>
        <x:v>0</x:v>
      </x:c>
      <x:c r="I489" s="34" t="str">
        <x:f>IF(H489=0,"",H489/24)</x:f>
      </x:c>
      <x:c r="J489"/>
      <x:c r="K489" s="22" t="str">
        <x:f>IF(B489="","",START_HERE!$B$7)</x:f>
      </x:c>
      <x:c r="L489" s="22" t="str">
        <x:f>IF(B489="","",ROUND(K489-H489,2))</x:f>
      </x:c>
      <x:c r="M489"/>
      <x:c r="N489" t="str">
        <x:f>IF(B489="","",IF(J489&lt;&gt;"Completed","Not counted",IF(H489&lt;=0,"CHECK TIME","OK")))</x:f>
      </x:c>
    </x:row>
    <x:row r="490">
      <x:c r="A490" t="str">
        <x:f>IF(B490="","",ROW()-1)</x:f>
      </x:c>
      <x:c r="B490" s="24"/>
      <x:c r="C490" t="str">
        <x:f>IF(B490="","",TEXT(B490,"mmm-yyyy"))</x:f>
      </x:c>
      <x:c r="D490" t="str">
        <x:f>IF(B490="","",TEXT(B490,"ddd"))</x:f>
      </x:c>
      <x:c r="E490" s="32"/>
      <x:c r="F490" s="32"/>
      <x:c r="G490"/>
      <x:c r="H490" s="22" t="n">
        <x:f>IF(OR(B490="",J490&lt;&gt;"Completed"),0,IF(AND(ISNUMBER(E490),ISNUMBER(F490)),ROUND(((F490-E490)+(F490&lt;E490))*24-(N(G490)/60),2),0))</x:f>
        <x:v>0</x:v>
      </x:c>
      <x:c r="I490" s="34" t="str">
        <x:f>IF(H490=0,"",H490/24)</x:f>
      </x:c>
      <x:c r="J490"/>
      <x:c r="K490" s="22" t="str">
        <x:f>IF(B490="","",START_HERE!$B$7)</x:f>
      </x:c>
      <x:c r="L490" s="22" t="str">
        <x:f>IF(B490="","",ROUND(K490-H490,2))</x:f>
      </x:c>
      <x:c r="M490"/>
      <x:c r="N490" t="str">
        <x:f>IF(B490="","",IF(J490&lt;&gt;"Completed","Not counted",IF(H490&lt;=0,"CHECK TIME","OK")))</x:f>
      </x:c>
    </x:row>
    <x:row r="491">
      <x:c r="A491" t="str">
        <x:f>IF(B491="","",ROW()-1)</x:f>
      </x:c>
      <x:c r="B491" s="24"/>
      <x:c r="C491" t="str">
        <x:f>IF(B491="","",TEXT(B491,"mmm-yyyy"))</x:f>
      </x:c>
      <x:c r="D491" t="str">
        <x:f>IF(B491="","",TEXT(B491,"ddd"))</x:f>
      </x:c>
      <x:c r="E491" s="32"/>
      <x:c r="F491" s="32"/>
      <x:c r="G491"/>
      <x:c r="H491" s="22" t="n">
        <x:f>IF(OR(B491="",J491&lt;&gt;"Completed"),0,IF(AND(ISNUMBER(E491),ISNUMBER(F491)),ROUND(((F491-E491)+(F491&lt;E491))*24-(N(G491)/60),2),0))</x:f>
        <x:v>0</x:v>
      </x:c>
      <x:c r="I491" s="34" t="str">
        <x:f>IF(H491=0,"",H491/24)</x:f>
      </x:c>
      <x:c r="J491"/>
      <x:c r="K491" s="22" t="str">
        <x:f>IF(B491="","",START_HERE!$B$7)</x:f>
      </x:c>
      <x:c r="L491" s="22" t="str">
        <x:f>IF(B491="","",ROUND(K491-H491,2))</x:f>
      </x:c>
      <x:c r="M491"/>
      <x:c r="N491" t="str">
        <x:f>IF(B491="","",IF(J491&lt;&gt;"Completed","Not counted",IF(H491&lt;=0,"CHECK TIME","OK")))</x:f>
      </x:c>
    </x:row>
    <x:row r="492">
      <x:c r="A492" t="str">
        <x:f>IF(B492="","",ROW()-1)</x:f>
      </x:c>
      <x:c r="B492" s="24"/>
      <x:c r="C492" t="str">
        <x:f>IF(B492="","",TEXT(B492,"mmm-yyyy"))</x:f>
      </x:c>
      <x:c r="D492" t="str">
        <x:f>IF(B492="","",TEXT(B492,"ddd"))</x:f>
      </x:c>
      <x:c r="E492" s="32"/>
      <x:c r="F492" s="32"/>
      <x:c r="G492"/>
      <x:c r="H492" s="22" t="n">
        <x:f>IF(OR(B492="",J492&lt;&gt;"Completed"),0,IF(AND(ISNUMBER(E492),ISNUMBER(F492)),ROUND(((F492-E492)+(F492&lt;E492))*24-(N(G492)/60),2),0))</x:f>
        <x:v>0</x:v>
      </x:c>
      <x:c r="I492" s="34" t="str">
        <x:f>IF(H492=0,"",H492/24)</x:f>
      </x:c>
      <x:c r="J492"/>
      <x:c r="K492" s="22" t="str">
        <x:f>IF(B492="","",START_HERE!$B$7)</x:f>
      </x:c>
      <x:c r="L492" s="22" t="str">
        <x:f>IF(B492="","",ROUND(K492-H492,2))</x:f>
      </x:c>
      <x:c r="M492"/>
      <x:c r="N492" t="str">
        <x:f>IF(B492="","",IF(J492&lt;&gt;"Completed","Not counted",IF(H492&lt;=0,"CHECK TIME","OK")))</x:f>
      </x:c>
    </x:row>
    <x:row r="493">
      <x:c r="A493" t="str">
        <x:f>IF(B493="","",ROW()-1)</x:f>
      </x:c>
      <x:c r="B493" s="24"/>
      <x:c r="C493" t="str">
        <x:f>IF(B493="","",TEXT(B493,"mmm-yyyy"))</x:f>
      </x:c>
      <x:c r="D493" t="str">
        <x:f>IF(B493="","",TEXT(B493,"ddd"))</x:f>
      </x:c>
      <x:c r="E493" s="32"/>
      <x:c r="F493" s="32"/>
      <x:c r="G493"/>
      <x:c r="H493" s="22" t="n">
        <x:f>IF(OR(B493="",J493&lt;&gt;"Completed"),0,IF(AND(ISNUMBER(E493),ISNUMBER(F493)),ROUND(((F493-E493)+(F493&lt;E493))*24-(N(G493)/60),2),0))</x:f>
        <x:v>0</x:v>
      </x:c>
      <x:c r="I493" s="34" t="str">
        <x:f>IF(H493=0,"",H493/24)</x:f>
      </x:c>
      <x:c r="J493"/>
      <x:c r="K493" s="22" t="str">
        <x:f>IF(B493="","",START_HERE!$B$7)</x:f>
      </x:c>
      <x:c r="L493" s="22" t="str">
        <x:f>IF(B493="","",ROUND(K493-H493,2))</x:f>
      </x:c>
      <x:c r="M493"/>
      <x:c r="N493" t="str">
        <x:f>IF(B493="","",IF(J493&lt;&gt;"Completed","Not counted",IF(H493&lt;=0,"CHECK TIME","OK")))</x:f>
      </x:c>
    </x:row>
    <x:row r="494">
      <x:c r="A494" t="str">
        <x:f>IF(B494="","",ROW()-1)</x:f>
      </x:c>
      <x:c r="B494" s="24"/>
      <x:c r="C494" t="str">
        <x:f>IF(B494="","",TEXT(B494,"mmm-yyyy"))</x:f>
      </x:c>
      <x:c r="D494" t="str">
        <x:f>IF(B494="","",TEXT(B494,"ddd"))</x:f>
      </x:c>
      <x:c r="E494" s="32"/>
      <x:c r="F494" s="32"/>
      <x:c r="G494"/>
      <x:c r="H494" s="22" t="n">
        <x:f>IF(OR(B494="",J494&lt;&gt;"Completed"),0,IF(AND(ISNUMBER(E494),ISNUMBER(F494)),ROUND(((F494-E494)+(F494&lt;E494))*24-(N(G494)/60),2),0))</x:f>
        <x:v>0</x:v>
      </x:c>
      <x:c r="I494" s="34" t="str">
        <x:f>IF(H494=0,"",H494/24)</x:f>
      </x:c>
      <x:c r="J494"/>
      <x:c r="K494" s="22" t="str">
        <x:f>IF(B494="","",START_HERE!$B$7)</x:f>
      </x:c>
      <x:c r="L494" s="22" t="str">
        <x:f>IF(B494="","",ROUND(K494-H494,2))</x:f>
      </x:c>
      <x:c r="M494"/>
      <x:c r="N494" t="str">
        <x:f>IF(B494="","",IF(J494&lt;&gt;"Completed","Not counted",IF(H494&lt;=0,"CHECK TIME","OK")))</x:f>
      </x:c>
    </x:row>
    <x:row r="495">
      <x:c r="A495" t="str">
        <x:f>IF(B495="","",ROW()-1)</x:f>
      </x:c>
      <x:c r="B495" s="24"/>
      <x:c r="C495" t="str">
        <x:f>IF(B495="","",TEXT(B495,"mmm-yyyy"))</x:f>
      </x:c>
      <x:c r="D495" t="str">
        <x:f>IF(B495="","",TEXT(B495,"ddd"))</x:f>
      </x:c>
      <x:c r="E495" s="32"/>
      <x:c r="F495" s="32"/>
      <x:c r="G495"/>
      <x:c r="H495" s="22" t="n">
        <x:f>IF(OR(B495="",J495&lt;&gt;"Completed"),0,IF(AND(ISNUMBER(E495),ISNUMBER(F495)),ROUND(((F495-E495)+(F495&lt;E495))*24-(N(G495)/60),2),0))</x:f>
        <x:v>0</x:v>
      </x:c>
      <x:c r="I495" s="34" t="str">
        <x:f>IF(H495=0,"",H495/24)</x:f>
      </x:c>
      <x:c r="J495"/>
      <x:c r="K495" s="22" t="str">
        <x:f>IF(B495="","",START_HERE!$B$7)</x:f>
      </x:c>
      <x:c r="L495" s="22" t="str">
        <x:f>IF(B495="","",ROUND(K495-H495,2))</x:f>
      </x:c>
      <x:c r="M495"/>
      <x:c r="N495" t="str">
        <x:f>IF(B495="","",IF(J495&lt;&gt;"Completed","Not counted",IF(H495&lt;=0,"CHECK TIME","OK")))</x:f>
      </x:c>
    </x:row>
    <x:row r="496">
      <x:c r="A496" t="str">
        <x:f>IF(B496="","",ROW()-1)</x:f>
      </x:c>
      <x:c r="B496" s="24"/>
      <x:c r="C496" t="str">
        <x:f>IF(B496="","",TEXT(B496,"mmm-yyyy"))</x:f>
      </x:c>
      <x:c r="D496" t="str">
        <x:f>IF(B496="","",TEXT(B496,"ddd"))</x:f>
      </x:c>
      <x:c r="E496" s="32"/>
      <x:c r="F496" s="32"/>
      <x:c r="G496"/>
      <x:c r="H496" s="22" t="n">
        <x:f>IF(OR(B496="",J496&lt;&gt;"Completed"),0,IF(AND(ISNUMBER(E496),ISNUMBER(F496)),ROUND(((F496-E496)+(F496&lt;E496))*24-(N(G496)/60),2),0))</x:f>
        <x:v>0</x:v>
      </x:c>
      <x:c r="I496" s="34" t="str">
        <x:f>IF(H496=0,"",H496/24)</x:f>
      </x:c>
      <x:c r="J496"/>
      <x:c r="K496" s="22" t="str">
        <x:f>IF(B496="","",START_HERE!$B$7)</x:f>
      </x:c>
      <x:c r="L496" s="22" t="str">
        <x:f>IF(B496="","",ROUND(K496-H496,2))</x:f>
      </x:c>
      <x:c r="M496"/>
      <x:c r="N496" t="str">
        <x:f>IF(B496="","",IF(J496&lt;&gt;"Completed","Not counted",IF(H496&lt;=0,"CHECK TIME","OK")))</x:f>
      </x:c>
    </x:row>
    <x:row r="497">
      <x:c r="A497" t="str">
        <x:f>IF(B497="","",ROW()-1)</x:f>
      </x:c>
      <x:c r="B497" s="24"/>
      <x:c r="C497" t="str">
        <x:f>IF(B497="","",TEXT(B497,"mmm-yyyy"))</x:f>
      </x:c>
      <x:c r="D497" t="str">
        <x:f>IF(B497="","",TEXT(B497,"ddd"))</x:f>
      </x:c>
      <x:c r="E497" s="32"/>
      <x:c r="F497" s="32"/>
      <x:c r="G497"/>
      <x:c r="H497" s="22" t="n">
        <x:f>IF(OR(B497="",J497&lt;&gt;"Completed"),0,IF(AND(ISNUMBER(E497),ISNUMBER(F497)),ROUND(((F497-E497)+(F497&lt;E497))*24-(N(G497)/60),2),0))</x:f>
        <x:v>0</x:v>
      </x:c>
      <x:c r="I497" s="34" t="str">
        <x:f>IF(H497=0,"",H497/24)</x:f>
      </x:c>
      <x:c r="J497"/>
      <x:c r="K497" s="22" t="str">
        <x:f>IF(B497="","",START_HERE!$B$7)</x:f>
      </x:c>
      <x:c r="L497" s="22" t="str">
        <x:f>IF(B497="","",ROUND(K497-H497,2))</x:f>
      </x:c>
      <x:c r="M497"/>
      <x:c r="N497" t="str">
        <x:f>IF(B497="","",IF(J497&lt;&gt;"Completed","Not counted",IF(H497&lt;=0,"CHECK TIME","OK")))</x:f>
      </x:c>
    </x:row>
    <x:row r="498">
      <x:c r="A498" t="str">
        <x:f>IF(B498="","",ROW()-1)</x:f>
      </x:c>
      <x:c r="B498" s="24"/>
      <x:c r="C498" t="str">
        <x:f>IF(B498="","",TEXT(B498,"mmm-yyyy"))</x:f>
      </x:c>
      <x:c r="D498" t="str">
        <x:f>IF(B498="","",TEXT(B498,"ddd"))</x:f>
      </x:c>
      <x:c r="E498" s="32"/>
      <x:c r="F498" s="32"/>
      <x:c r="G498"/>
      <x:c r="H498" s="22" t="n">
        <x:f>IF(OR(B498="",J498&lt;&gt;"Completed"),0,IF(AND(ISNUMBER(E498),ISNUMBER(F498)),ROUND(((F498-E498)+(F498&lt;E498))*24-(N(G498)/60),2),0))</x:f>
        <x:v>0</x:v>
      </x:c>
      <x:c r="I498" s="34" t="str">
        <x:f>IF(H498=0,"",H498/24)</x:f>
      </x:c>
      <x:c r="J498"/>
      <x:c r="K498" s="22" t="str">
        <x:f>IF(B498="","",START_HERE!$B$7)</x:f>
      </x:c>
      <x:c r="L498" s="22" t="str">
        <x:f>IF(B498="","",ROUND(K498-H498,2))</x:f>
      </x:c>
      <x:c r="M498"/>
      <x:c r="N498" t="str">
        <x:f>IF(B498="","",IF(J498&lt;&gt;"Completed","Not counted",IF(H498&lt;=0,"CHECK TIME","OK")))</x:f>
      </x:c>
    </x:row>
    <x:row r="499">
      <x:c r="A499" t="str">
        <x:f>IF(B499="","",ROW()-1)</x:f>
      </x:c>
      <x:c r="B499" s="24"/>
      <x:c r="C499" t="str">
        <x:f>IF(B499="","",TEXT(B499,"mmm-yyyy"))</x:f>
      </x:c>
      <x:c r="D499" t="str">
        <x:f>IF(B499="","",TEXT(B499,"ddd"))</x:f>
      </x:c>
      <x:c r="E499" s="32"/>
      <x:c r="F499" s="32"/>
      <x:c r="G499"/>
      <x:c r="H499" s="22" t="n">
        <x:f>IF(OR(B499="",J499&lt;&gt;"Completed"),0,IF(AND(ISNUMBER(E499),ISNUMBER(F499)),ROUND(((F499-E499)+(F499&lt;E499))*24-(N(G499)/60),2),0))</x:f>
        <x:v>0</x:v>
      </x:c>
      <x:c r="I499" s="34" t="str">
        <x:f>IF(H499=0,"",H499/24)</x:f>
      </x:c>
      <x:c r="J499"/>
      <x:c r="K499" s="22" t="str">
        <x:f>IF(B499="","",START_HERE!$B$7)</x:f>
      </x:c>
      <x:c r="L499" s="22" t="str">
        <x:f>IF(B499="","",ROUND(K499-H499,2))</x:f>
      </x:c>
      <x:c r="M499"/>
      <x:c r="N499" t="str">
        <x:f>IF(B499="","",IF(J499&lt;&gt;"Completed","Not counted",IF(H499&lt;=0,"CHECK TIME","OK")))</x:f>
      </x:c>
    </x:row>
    <x:row r="500">
      <x:c r="A500" t="str">
        <x:f>IF(B500="","",ROW()-1)</x:f>
      </x:c>
      <x:c r="B500" s="24"/>
      <x:c r="C500" t="str">
        <x:f>IF(B500="","",TEXT(B500,"mmm-yyyy"))</x:f>
      </x:c>
      <x:c r="D500" t="str">
        <x:f>IF(B500="","",TEXT(B500,"ddd"))</x:f>
      </x:c>
      <x:c r="E500" s="32"/>
      <x:c r="F500" s="32"/>
      <x:c r="G500"/>
      <x:c r="H500" s="22" t="n">
        <x:f>IF(OR(B500="",J500&lt;&gt;"Completed"),0,IF(AND(ISNUMBER(E500),ISNUMBER(F500)),ROUND(((F500-E500)+(F500&lt;E500))*24-(N(G500)/60),2),0))</x:f>
        <x:v>0</x:v>
      </x:c>
      <x:c r="I500" s="34" t="str">
        <x:f>IF(H500=0,"",H500/24)</x:f>
      </x:c>
      <x:c r="J500"/>
      <x:c r="K500" s="22" t="str">
        <x:f>IF(B500="","",START_HERE!$B$7)</x:f>
      </x:c>
      <x:c r="L500" s="22" t="str">
        <x:f>IF(B500="","",ROUND(K500-H500,2))</x:f>
      </x:c>
      <x:c r="M500"/>
      <x:c r="N500" t="str">
        <x:f>IF(B500="","",IF(J500&lt;&gt;"Completed","Not counted",IF(H500&lt;=0,"CHECK TIME","OK")))</x:f>
      </x:c>
    </x:row>
    <x:row r="501">
      <x:c r="A501" t="str">
        <x:f>IF(B501="","",ROW()-1)</x:f>
      </x:c>
      <x:c r="B501" s="24"/>
      <x:c r="C501" t="str">
        <x:f>IF(B501="","",TEXT(B501,"mmm-yyyy"))</x:f>
      </x:c>
      <x:c r="D501" t="str">
        <x:f>IF(B501="","",TEXT(B501,"ddd"))</x:f>
      </x:c>
      <x:c r="E501" s="32"/>
      <x:c r="F501" s="32"/>
      <x:c r="G501"/>
      <x:c r="H501" s="22" t="n">
        <x:f>IF(OR(B501="",J501&lt;&gt;"Completed"),0,IF(AND(ISNUMBER(E501),ISNUMBER(F501)),ROUND(((F501-E501)+(F501&lt;E501))*24-(N(G501)/60),2),0))</x:f>
        <x:v>0</x:v>
      </x:c>
      <x:c r="I501" s="34" t="str">
        <x:f>IF(H501=0,"",H501/24)</x:f>
      </x:c>
      <x:c r="J501"/>
      <x:c r="K501" s="22" t="str">
        <x:f>IF(B501="","",START_HERE!$B$7)</x:f>
      </x:c>
      <x:c r="L501" s="22" t="str">
        <x:f>IF(B501="","",ROUND(K501-H501,2))</x:f>
      </x:c>
      <x:c r="M501"/>
      <x:c r="N501" t="str">
        <x:f>IF(B501="","",IF(J501&lt;&gt;"Completed","Not counted",IF(H501&lt;=0,"CHECK TIME","OK")))</x:f>
      </x:c>
    </x:row>
  </x:sheetData>
  <x:conditionalFormatting sqref="N2:N501">
    <x:cfRule type="expression" dxfId="0" priority="1">
      <x:formula>N2="CHECK TIME"</x:formula>
    </x:cfRule>
  </x:conditionalFormatting>
  <x:conditionalFormatting sqref="L2:L501">
    <x:cfRule type="expression" dxfId="1" priority="2">
      <x:formula>L2&gt;0</x:formula>
    </x:cfRule>
    <x:cfRule type="expression" dxfId="2" priority="3">
      <x:formula>L2&lt;0</x:formula>
    </x:cfRule>
  </x:conditionalFormatting>
  <x:dataValidations count="1">
    <x:dataValidation type="list" sqref="J2:J501">
      <x:formula1>"Completed,Absent,Cancelled,Pending"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713bb0882b42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10.630000114440918" hidden="0" customWidth="1"/>
    <x:col min="3" max="3" width="44.0099983215332" hidden="0" customWidth="1"/>
    <x:col min="4" max="4" width="10.09000015258789" hidden="0" customWidth="1"/>
    <x:col min="5" max="5" width="8.34000015258789" hidden="0" customWidth="1"/>
    <x:col min="6" max="6" width="34.04999923706055" hidden="0" customWidth="1"/>
  </x:cols>
  <x:sheetData>
    <x:row r="1">
      <x:c r="A1" s="12" t="str">
        <x:v>Sr</x:v>
      </x:c>
      <x:c r="B1" s="12" t="str">
        <x:v>Date</x:v>
      </x:c>
      <x:c r="C1" s="12" t="str">
        <x:v>Paid By</x:v>
      </x:c>
      <x:c r="D1" s="12" t="str">
        <x:v>Amount (Rs)</x:v>
      </x:c>
      <x:c r="E1" s="12" t="str">
        <x:v>Mode/Ref</x:v>
      </x:c>
      <x:c r="F1" s="12" t="str">
        <x:v>Remarks</x:v>
      </x:c>
    </x:row>
    <x:row r="2">
      <x:c r="A2" t="n">
        <x:f>IF(B2="","",ROW()-1)</x:f>
        <x:v>1</x:v>
      </x:c>
      <x:c r="B2" s="24" t="n">
        <x:v>45788</x:v>
      </x:c>
      <x:c r="C2" t="str">
        <x:v>G.K.</x:v>
      </x:c>
      <x:c r="D2" s="36" t="n">
        <x:v>15000</x:v>
      </x:c>
      <x:c r="E2" t="str"/>
      <x:c r="F2" t="str">
        <x:v>Included</x:v>
      </x:c>
    </x:row>
    <x:row r="3">
      <x:c r="A3" t="n">
        <x:f>IF(B3="","",ROW()-1)</x:f>
        <x:v>2</x:v>
      </x:c>
      <x:c r="B3" s="24" t="n">
        <x:v>45806</x:v>
      </x:c>
      <x:c r="C3" t="str">
        <x:v>G.K.</x:v>
      </x:c>
      <x:c r="D3" s="36" t="n">
        <x:v>13000</x:v>
      </x:c>
      <x:c r="E3" t="str"/>
      <x:c r="F3" t="str">
        <x:v>Included</x:v>
      </x:c>
    </x:row>
    <x:row r="4">
      <x:c r="A4" t="n">
        <x:f>IF(B4="","",ROW()-1)</x:f>
        <x:v>3</x:v>
      </x:c>
      <x:c r="B4" s="24" t="n">
        <x:v>45889</x:v>
      </x:c>
      <x:c r="C4" t="str">
        <x:v>G.K.</x:v>
      </x:c>
      <x:c r="D4" s="36" t="n">
        <x:v>700</x:v>
      </x:c>
      <x:c r="E4" t="str"/>
      <x:c r="F4" t="str">
        <x:v>Included</x:v>
      </x:c>
    </x:row>
    <x:row r="5">
      <x:c r="A5" t="n">
        <x:f>IF(B5="","",ROW()-1)</x:f>
        <x:v>4</x:v>
      </x:c>
      <x:c r="B5" s="24" t="n">
        <x:v>45910</x:v>
      </x:c>
      <x:c r="C5" t="str">
        <x:v>G.K.</x:v>
      </x:c>
      <x:c r="D5" s="36" t="n">
        <x:v>10000</x:v>
      </x:c>
      <x:c r="E5" t="str"/>
      <x:c r="F5" t="str">
        <x:v>Included</x:v>
      </x:c>
    </x:row>
    <x:row r="6">
      <x:c r="A6" t="n">
        <x:f>IF(B6="","",ROW()-1)</x:f>
        <x:v>5</x:v>
      </x:c>
      <x:c r="B6" s="24" t="n">
        <x:v>46187</x:v>
      </x:c>
      <x:c r="C6" t="str">
        <x:v>G.K.</x:v>
      </x:c>
      <x:c r="D6" s="36" t="n">
        <x:v>0</x:v>
      </x:c>
      <x:c r="E6" t="str"/>
      <x:c r="F6" t="str">
        <x:v>Excluded from total; original amount 3000</x:v>
      </x:c>
    </x:row>
    <x:row r="7">
      <x:c r="A7" t="n">
        <x:f>IF(B7="","",ROW()-1)</x:f>
        <x:v>6</x:v>
      </x:c>
      <x:c r="B7" s="24" t="n">
        <x:v>45823</x:v>
      </x:c>
      <x:c r="C7" t="str">
        <x:v>Madam</x:v>
      </x:c>
      <x:c r="D7" s="36" t="n">
        <x:v>1000</x:v>
      </x:c>
      <x:c r="E7" t="str"/>
      <x:c r="F7" t="str">
        <x:v>Included</x:v>
      </x:c>
    </x:row>
    <x:row r="8">
      <x:c r="A8" t="n">
        <x:f>IF(B8="","",ROW()-1)</x:f>
        <x:v>7</x:v>
      </x:c>
      <x:c r="B8" s="24" t="n">
        <x:v>45845</x:v>
      </x:c>
      <x:c r="C8" t="str">
        <x:v>Madam</x:v>
      </x:c>
      <x:c r="D8" s="36" t="n">
        <x:v>8000</x:v>
      </x:c>
      <x:c r="E8" t="str"/>
      <x:c r="F8" t="str">
        <x:v>Included</x:v>
      </x:c>
    </x:row>
    <x:row r="9">
      <x:c r="A9" t="n">
        <x:f>IF(B9="","",ROW()-1)</x:f>
        <x:v>8</x:v>
      </x:c>
      <x:c r="B9" s="24" t="n">
        <x:v>45867</x:v>
      </x:c>
      <x:c r="C9" t="str">
        <x:v>Madam</x:v>
      </x:c>
      <x:c r="D9" s="36" t="n">
        <x:v>15000</x:v>
      </x:c>
      <x:c r="E9" t="str"/>
      <x:c r="F9" t="str">
        <x:v>Included</x:v>
      </x:c>
    </x:row>
    <x:row r="10">
      <x:c r="A10" t="n">
        <x:f>IF(B10="","",ROW()-1)</x:f>
        <x:v>9</x:v>
      </x:c>
      <x:c r="B10" s="24" t="n">
        <x:v>45932</x:v>
      </x:c>
      <x:c r="C10" t="str">
        <x:v>Madam</x:v>
      </x:c>
      <x:c r="D10" s="36" t="n">
        <x:v>7000</x:v>
      </x:c>
      <x:c r="E10" t="str"/>
      <x:c r="F10" t="str">
        <x:v>Included</x:v>
      </x:c>
    </x:row>
    <x:row r="11">
      <x:c r="A11" t="n">
        <x:f>IF(B11="","",ROW()-1)</x:f>
        <x:v>10</x:v>
      </x:c>
      <x:c r="B11" s="24" t="n">
        <x:v>45968</x:v>
      </x:c>
      <x:c r="C11" t="str">
        <x:v>Madam</x:v>
      </x:c>
      <x:c r="D11" s="36" t="n">
        <x:v>5764</x:v>
      </x:c>
      <x:c r="E11" t="str"/>
      <x:c r="F11" t="str">
        <x:v>Included</x:v>
      </x:c>
    </x:row>
    <x:row r="12">
      <x:c r="A12" t="n">
        <x:f>IF(B12="","",ROW()-1)</x:f>
        <x:v>11</x:v>
      </x:c>
      <x:c r="B12" s="24" t="n">
        <x:v>46002</x:v>
      </x:c>
      <x:c r="C12" t="str">
        <x:v>Madam</x:v>
      </x:c>
      <x:c r="D12" s="36" t="n">
        <x:v>11000</x:v>
      </x:c>
      <x:c r="E12" t="str"/>
      <x:c r="F12" t="str">
        <x:v>Included</x:v>
      </x:c>
    </x:row>
    <x:row r="13">
      <x:c r="A13" t="n">
        <x:f>IF(B13="","",ROW()-1)</x:f>
        <x:v>12</x:v>
      </x:c>
      <x:c r="B13" s="24" t="n">
        <x:v>46187</x:v>
      </x:c>
      <x:c r="C13" t="str">
        <x:v>Madam</x:v>
      </x:c>
      <x:c r="D13" s="36" t="n">
        <x:v>5000</x:v>
      </x:c>
      <x:c r="E13" t="str"/>
      <x:c r="F13" t="str">
        <x:v>Included</x:v>
      </x:c>
    </x:row>
    <x:row r="14">
      <x:c r="A14" t="n">
        <x:f>IF(B14="","",ROW()-1)</x:f>
        <x:v>13</x:v>
      </x:c>
      <x:c r="B14" s="24" t="n">
        <x:v>384</x:v>
      </x:c>
      <x:c r="C14" t="str">
        <x:v>Rate per hour</x:v>
      </x:c>
      <x:c r="D14" s="36" t="n">
        <x:v>0</x:v>
      </x:c>
      <x:c r="E14" t="str"/>
      <x:c r="F14" t="str">
        <x:v>Excluded from total; original amount None</x:v>
      </x:c>
    </x:row>
    <x:row r="15">
      <x:c r="A15" t="n">
        <x:f>IF(B15="","",ROW()-1)</x:f>
        <x:v>14</x:v>
      </x:c>
      <x:c r="B15" s="24" t="n">
        <x:v>91464</x:v>
      </x:c>
      <x:c r="C15" t="str">
        <x:v>Total paid included</x:v>
      </x:c>
      <x:c r="D15" s="36" t="n">
        <x:v>0</x:v>
      </x:c>
      <x:c r="E15" t="str"/>
      <x:c r="F15" t="str">
        <x:v>Excluded from total; original amount None</x:v>
      </x:c>
    </x:row>
    <x:row r="16">
      <x:c r="A16" t="n">
        <x:f>IF(B16="","",ROW()-1)</x:f>
        <x:v>15</x:v>
      </x:c>
      <x:c r="B16" s="24" t="n">
        <x:v>100</x:v>
      </x:c>
      <x:c r="C16" t="str">
        <x:v>Actual hours as per independent ledger</x:v>
      </x:c>
      <x:c r="D16" s="36" t="n">
        <x:v>0</x:v>
      </x:c>
      <x:c r="E16" t="str"/>
      <x:c r="F16" t="str">
        <x:v>Excluded from total; original amount None</x:v>
      </x:c>
    </x:row>
    <x:row r="17">
      <x:c r="A17" t="n">
        <x:f>IF(B17="","",ROW()-1)</x:f>
        <x:v>16</x:v>
      </x:c>
      <x:c r="B17" s="24" t="n">
        <x:v>38707</x:v>
      </x:c>
      <x:c r="C17" t="str">
        <x:v>Tuition value as per independent ledger</x:v>
      </x:c>
      <x:c r="D17" s="36" t="n">
        <x:v>0</x:v>
      </x:c>
      <x:c r="E17" t="str"/>
      <x:c r="F17" t="str">
        <x:v>Excluded from total; original amount None</x:v>
      </x:c>
    </x:row>
    <x:row r="18">
      <x:c r="A18" t="n">
        <x:f>IF(B18="","",ROW()-1)</x:f>
        <x:v>17</x:v>
      </x:c>
      <x:c r="B18" s="24" t="n">
        <x:v>52756</x:v>
      </x:c>
      <x:c r="C18" t="str">
        <x:v>Refundable / Excess amount as per independent ledger</x:v>
      </x:c>
      <x:c r="D18" s="36" t="n">
        <x:v>0</x:v>
      </x:c>
      <x:c r="E18" t="str"/>
      <x:c r="F18" t="str">
        <x:v>Excluded from total; original amount None</x:v>
      </x:c>
    </x:row>
    <x:row r="19">
      <x:c r="A19" t="n">
        <x:f>IF(B19="","",ROW()-1)</x:f>
        <x:v>18</x:v>
      </x:c>
      <x:c r="B19" s="24" t="n">
        <x:v>96</x:v>
      </x:c>
      <x:c r="C19" t="str">
        <x:v>Actual hours as per handwritten summary</x:v>
      </x:c>
      <x:c r="D19" s="36" t="n">
        <x:v>0</x:v>
      </x:c>
      <x:c r="E19" t="str"/>
      <x:c r="F19" t="str">
        <x:v>Excluded from total; original amount None</x:v>
      </x:c>
    </x:row>
    <x:row r="20">
      <x:c r="A20" t="n">
        <x:f>IF(B20="","",ROW()-1)</x:f>
        <x:v>19</x:v>
      </x:c>
      <x:c r="B20" s="24" t="n">
        <x:v>52756</x:v>
      </x:c>
      <x:c r="C20" t="str">
        <x:v>Difference in refund (Independent - Summary)</x:v>
      </x:c>
      <x:c r="D20" s="36" t="n">
        <x:v>0</x:v>
      </x:c>
      <x:c r="E20" t="str"/>
      <x:c r="F20" t="str">
        <x:v>Excluded from total; original amount None</x:v>
      </x:c>
    </x:row>
    <x:row r="21">
      <x:c r="A21" t="str">
        <x:f>IF(B21="","",ROW()-1)</x:f>
      </x:c>
      <x:c r="B21" s="24"/>
      <x:c r="C21"/>
      <x:c r="D21" s="36"/>
      <x:c r="E21"/>
      <x:c r="F21"/>
    </x:row>
    <x:row r="22">
      <x:c r="A22" t="str">
        <x:f>IF(B22="","",ROW()-1)</x:f>
      </x:c>
      <x:c r="B22" s="24"/>
      <x:c r="C22"/>
      <x:c r="D22" s="36"/>
      <x:c r="E22"/>
      <x:c r="F22"/>
    </x:row>
    <x:row r="23">
      <x:c r="A23" t="str">
        <x:f>IF(B23="","",ROW()-1)</x:f>
      </x:c>
      <x:c r="B23" s="24"/>
      <x:c r="C23"/>
      <x:c r="D23" s="36"/>
      <x:c r="E23"/>
      <x:c r="F23"/>
    </x:row>
    <x:row r="24">
      <x:c r="A24" t="str">
        <x:f>IF(B24="","",ROW()-1)</x:f>
      </x:c>
      <x:c r="B24" s="24"/>
      <x:c r="C24"/>
      <x:c r="D24" s="36"/>
      <x:c r="E24"/>
      <x:c r="F24"/>
    </x:row>
    <x:row r="25">
      <x:c r="A25" t="str">
        <x:f>IF(B25="","",ROW()-1)</x:f>
      </x:c>
      <x:c r="B25" s="24"/>
      <x:c r="C25"/>
      <x:c r="D25" s="36"/>
      <x:c r="E25"/>
      <x:c r="F25"/>
    </x:row>
    <x:row r="26">
      <x:c r="A26" t="str">
        <x:f>IF(B26="","",ROW()-1)</x:f>
      </x:c>
      <x:c r="B26" s="24"/>
      <x:c r="C26"/>
      <x:c r="D26" s="36"/>
      <x:c r="E26"/>
      <x:c r="F26"/>
    </x:row>
    <x:row r="27">
      <x:c r="A27" t="str">
        <x:f>IF(B27="","",ROW()-1)</x:f>
      </x:c>
      <x:c r="B27" s="24"/>
      <x:c r="C27"/>
      <x:c r="D27" s="36"/>
      <x:c r="E27"/>
      <x:c r="F27"/>
    </x:row>
    <x:row r="28">
      <x:c r="A28" t="str">
        <x:f>IF(B28="","",ROW()-1)</x:f>
      </x:c>
      <x:c r="B28" s="24"/>
      <x:c r="C28"/>
      <x:c r="D28" s="36"/>
      <x:c r="E28"/>
      <x:c r="F28"/>
    </x:row>
    <x:row r="29">
      <x:c r="A29" t="str">
        <x:f>IF(B29="","",ROW()-1)</x:f>
      </x:c>
      <x:c r="B29" s="24"/>
      <x:c r="C29"/>
      <x:c r="D29" s="36"/>
      <x:c r="E29"/>
      <x:c r="F29"/>
    </x:row>
    <x:row r="30">
      <x:c r="A30" t="str">
        <x:f>IF(B30="","",ROW()-1)</x:f>
      </x:c>
      <x:c r="B30" s="24"/>
      <x:c r="C30"/>
      <x:c r="D30" s="36"/>
      <x:c r="E30"/>
      <x:c r="F30"/>
    </x:row>
    <x:row r="31">
      <x:c r="A31" t="str">
        <x:f>IF(B31="","",ROW()-1)</x:f>
      </x:c>
      <x:c r="B31" s="24"/>
      <x:c r="C31"/>
      <x:c r="D31" s="36"/>
      <x:c r="E31"/>
      <x:c r="F31"/>
    </x:row>
    <x:row r="32">
      <x:c r="A32" t="str">
        <x:f>IF(B32="","",ROW()-1)</x:f>
      </x:c>
      <x:c r="B32" s="24"/>
      <x:c r="C32"/>
      <x:c r="D32" s="36"/>
      <x:c r="E32"/>
      <x:c r="F32"/>
    </x:row>
    <x:row r="33">
      <x:c r="A33" t="str">
        <x:f>IF(B33="","",ROW()-1)</x:f>
      </x:c>
      <x:c r="B33" s="24"/>
      <x:c r="C33"/>
      <x:c r="D33" s="36"/>
      <x:c r="E33"/>
      <x:c r="F33"/>
    </x:row>
    <x:row r="34">
      <x:c r="A34" t="str">
        <x:f>IF(B34="","",ROW()-1)</x:f>
      </x:c>
      <x:c r="B34" s="24"/>
      <x:c r="C34"/>
      <x:c r="D34" s="36"/>
      <x:c r="E34"/>
      <x:c r="F34"/>
    </x:row>
    <x:row r="35">
      <x:c r="A35" t="str">
        <x:f>IF(B35="","",ROW()-1)</x:f>
      </x:c>
      <x:c r="B35" s="24"/>
      <x:c r="C35"/>
      <x:c r="D35" s="36"/>
      <x:c r="E35"/>
      <x:c r="F35"/>
    </x:row>
    <x:row r="36">
      <x:c r="A36" t="str">
        <x:f>IF(B36="","",ROW()-1)</x:f>
      </x:c>
      <x:c r="B36" s="24"/>
      <x:c r="C36"/>
      <x:c r="D36" s="36"/>
      <x:c r="E36"/>
      <x:c r="F36"/>
    </x:row>
    <x:row r="37">
      <x:c r="A37" t="str">
        <x:f>IF(B37="","",ROW()-1)</x:f>
      </x:c>
      <x:c r="B37" s="24"/>
      <x:c r="C37"/>
      <x:c r="D37" s="36"/>
      <x:c r="E37"/>
      <x:c r="F37"/>
    </x:row>
    <x:row r="38">
      <x:c r="A38" t="str">
        <x:f>IF(B38="","",ROW()-1)</x:f>
      </x:c>
      <x:c r="B38" s="24"/>
      <x:c r="C38"/>
      <x:c r="D38" s="36"/>
      <x:c r="E38"/>
      <x:c r="F38"/>
    </x:row>
    <x:row r="39">
      <x:c r="A39" t="str">
        <x:f>IF(B39="","",ROW()-1)</x:f>
      </x:c>
      <x:c r="B39" s="24"/>
      <x:c r="C39"/>
      <x:c r="D39" s="36"/>
      <x:c r="E39"/>
      <x:c r="F39"/>
    </x:row>
    <x:row r="40">
      <x:c r="A40" t="str">
        <x:f>IF(B40="","",ROW()-1)</x:f>
      </x:c>
      <x:c r="B40" s="24"/>
      <x:c r="C40"/>
      <x:c r="D40" s="36"/>
      <x:c r="E40"/>
      <x:c r="F40"/>
    </x:row>
    <x:row r="41">
      <x:c r="A41" t="str">
        <x:f>IF(B41="","",ROW()-1)</x:f>
      </x:c>
      <x:c r="B41" s="24"/>
      <x:c r="C41"/>
      <x:c r="D41" s="36"/>
      <x:c r="E41"/>
      <x:c r="F41"/>
    </x:row>
    <x:row r="42">
      <x:c r="A42" t="str">
        <x:f>IF(B42="","",ROW()-1)</x:f>
      </x:c>
      <x:c r="B42" s="24"/>
      <x:c r="C42"/>
      <x:c r="D42" s="36"/>
      <x:c r="E42"/>
      <x:c r="F42"/>
    </x:row>
    <x:row r="43">
      <x:c r="A43" t="str">
        <x:f>IF(B43="","",ROW()-1)</x:f>
      </x:c>
      <x:c r="B43" s="24"/>
      <x:c r="C43"/>
      <x:c r="D43" s="36"/>
      <x:c r="E43"/>
      <x:c r="F43"/>
    </x:row>
    <x:row r="44">
      <x:c r="A44" t="str">
        <x:f>IF(B44="","",ROW()-1)</x:f>
      </x:c>
      <x:c r="B44" s="24"/>
      <x:c r="C44"/>
      <x:c r="D44" s="36"/>
      <x:c r="E44"/>
      <x:c r="F44"/>
    </x:row>
    <x:row r="45">
      <x:c r="A45" t="str">
        <x:f>IF(B45="","",ROW()-1)</x:f>
      </x:c>
      <x:c r="B45" s="24"/>
      <x:c r="C45"/>
      <x:c r="D45" s="36"/>
      <x:c r="E45"/>
      <x:c r="F45"/>
    </x:row>
    <x:row r="46">
      <x:c r="A46" t="str">
        <x:f>IF(B46="","",ROW()-1)</x:f>
      </x:c>
      <x:c r="B46" s="24"/>
      <x:c r="C46"/>
      <x:c r="D46" s="36"/>
      <x:c r="E46"/>
      <x:c r="F46"/>
    </x:row>
    <x:row r="47">
      <x:c r="A47" t="str">
        <x:f>IF(B47="","",ROW()-1)</x:f>
      </x:c>
      <x:c r="B47" s="24"/>
      <x:c r="C47"/>
      <x:c r="D47" s="36"/>
      <x:c r="E47"/>
      <x:c r="F47"/>
    </x:row>
    <x:row r="48">
      <x:c r="A48" t="str">
        <x:f>IF(B48="","",ROW()-1)</x:f>
      </x:c>
      <x:c r="B48" s="24"/>
      <x:c r="C48"/>
      <x:c r="D48" s="36"/>
      <x:c r="E48"/>
      <x:c r="F48"/>
    </x:row>
    <x:row r="49">
      <x:c r="A49" t="str">
        <x:f>IF(B49="","",ROW()-1)</x:f>
      </x:c>
      <x:c r="B49" s="24"/>
      <x:c r="C49"/>
      <x:c r="D49" s="36"/>
      <x:c r="E49"/>
      <x:c r="F49"/>
    </x:row>
    <x:row r="50">
      <x:c r="A50" t="str">
        <x:f>IF(B50="","",ROW()-1)</x:f>
      </x:c>
      <x:c r="B50" s="24"/>
      <x:c r="C50"/>
      <x:c r="D50" s="36"/>
      <x:c r="E50"/>
      <x:c r="F50"/>
    </x:row>
    <x:row r="51">
      <x:c r="A51" t="str">
        <x:f>IF(B51="","",ROW()-1)</x:f>
      </x:c>
      <x:c r="B51" s="24"/>
      <x:c r="C51"/>
      <x:c r="D51" s="36"/>
      <x:c r="E51"/>
      <x:c r="F51"/>
    </x:row>
    <x:row r="52">
      <x:c r="A52" t="str">
        <x:f>IF(B52="","",ROW()-1)</x:f>
      </x:c>
      <x:c r="B52" s="24"/>
      <x:c r="C52"/>
      <x:c r="D52" s="36"/>
      <x:c r="E52"/>
      <x:c r="F52"/>
    </x:row>
    <x:row r="53">
      <x:c r="A53" t="str">
        <x:f>IF(B53="","",ROW()-1)</x:f>
      </x:c>
      <x:c r="B53" s="24"/>
      <x:c r="C53"/>
      <x:c r="D53" s="36"/>
      <x:c r="E53"/>
      <x:c r="F53"/>
    </x:row>
    <x:row r="54">
      <x:c r="A54" t="str">
        <x:f>IF(B54="","",ROW()-1)</x:f>
      </x:c>
      <x:c r="B54" s="24"/>
      <x:c r="C54"/>
      <x:c r="D54" s="36"/>
      <x:c r="E54"/>
      <x:c r="F54"/>
    </x:row>
    <x:row r="55">
      <x:c r="A55" t="str">
        <x:f>IF(B55="","",ROW()-1)</x:f>
      </x:c>
      <x:c r="B55" s="24"/>
      <x:c r="C55"/>
      <x:c r="D55" s="36"/>
      <x:c r="E55"/>
      <x:c r="F55"/>
    </x:row>
    <x:row r="56">
      <x:c r="A56" t="str">
        <x:f>IF(B56="","",ROW()-1)</x:f>
      </x:c>
      <x:c r="B56" s="24"/>
      <x:c r="C56"/>
      <x:c r="D56" s="36"/>
      <x:c r="E56"/>
      <x:c r="F56"/>
    </x:row>
    <x:row r="57">
      <x:c r="A57" t="str">
        <x:f>IF(B57="","",ROW()-1)</x:f>
      </x:c>
      <x:c r="B57" s="24"/>
      <x:c r="C57"/>
      <x:c r="D57" s="36"/>
      <x:c r="E57"/>
      <x:c r="F57"/>
    </x:row>
    <x:row r="58">
      <x:c r="A58" t="str">
        <x:f>IF(B58="","",ROW()-1)</x:f>
      </x:c>
      <x:c r="B58" s="24"/>
      <x:c r="C58"/>
      <x:c r="D58" s="36"/>
      <x:c r="E58"/>
      <x:c r="F58"/>
    </x:row>
    <x:row r="59">
      <x:c r="A59" t="str">
        <x:f>IF(B59="","",ROW()-1)</x:f>
      </x:c>
      <x:c r="B59" s="24"/>
      <x:c r="C59"/>
      <x:c r="D59" s="36"/>
      <x:c r="E59"/>
      <x:c r="F59"/>
    </x:row>
    <x:row r="60">
      <x:c r="A60" t="str">
        <x:f>IF(B60="","",ROW()-1)</x:f>
      </x:c>
      <x:c r="B60" s="24"/>
      <x:c r="C60"/>
      <x:c r="D60" s="36"/>
      <x:c r="E60"/>
      <x:c r="F60"/>
    </x:row>
    <x:row r="61">
      <x:c r="A61" t="str">
        <x:f>IF(B61="","",ROW()-1)</x:f>
      </x:c>
      <x:c r="B61" s="24"/>
      <x:c r="C61"/>
      <x:c r="D61" s="36"/>
      <x:c r="E61"/>
      <x:c r="F61"/>
    </x:row>
    <x:row r="62">
      <x:c r="A62" t="str">
        <x:f>IF(B62="","",ROW()-1)</x:f>
      </x:c>
      <x:c r="B62" s="24"/>
      <x:c r="C62"/>
      <x:c r="D62" s="36"/>
      <x:c r="E62"/>
      <x:c r="F62"/>
    </x:row>
    <x:row r="63">
      <x:c r="A63" t="str">
        <x:f>IF(B63="","",ROW()-1)</x:f>
      </x:c>
      <x:c r="B63" s="24"/>
      <x:c r="C63"/>
      <x:c r="D63" s="36"/>
      <x:c r="E63"/>
      <x:c r="F63"/>
    </x:row>
    <x:row r="64">
      <x:c r="A64" t="str">
        <x:f>IF(B64="","",ROW()-1)</x:f>
      </x:c>
      <x:c r="B64" s="24"/>
      <x:c r="C64"/>
      <x:c r="D64" s="36"/>
      <x:c r="E64"/>
      <x:c r="F64"/>
    </x:row>
    <x:row r="65">
      <x:c r="A65" t="str">
        <x:f>IF(B65="","",ROW()-1)</x:f>
      </x:c>
      <x:c r="B65" s="24"/>
      <x:c r="C65"/>
      <x:c r="D65" s="36"/>
      <x:c r="E65"/>
      <x:c r="F65"/>
    </x:row>
    <x:row r="66">
      <x:c r="A66" t="str">
        <x:f>IF(B66="","",ROW()-1)</x:f>
      </x:c>
      <x:c r="B66" s="24"/>
      <x:c r="C66"/>
      <x:c r="D66" s="36"/>
      <x:c r="E66"/>
      <x:c r="F66"/>
    </x:row>
    <x:row r="67">
      <x:c r="A67" t="str">
        <x:f>IF(B67="","",ROW()-1)</x:f>
      </x:c>
      <x:c r="B67" s="24"/>
      <x:c r="C67"/>
      <x:c r="D67" s="36"/>
      <x:c r="E67"/>
      <x:c r="F67"/>
    </x:row>
    <x:row r="68">
      <x:c r="A68" t="str">
        <x:f>IF(B68="","",ROW()-1)</x:f>
      </x:c>
      <x:c r="B68" s="24"/>
      <x:c r="C68"/>
      <x:c r="D68" s="36"/>
      <x:c r="E68"/>
      <x:c r="F68"/>
    </x:row>
    <x:row r="69">
      <x:c r="A69" t="str">
        <x:f>IF(B69="","",ROW()-1)</x:f>
      </x:c>
      <x:c r="B69" s="24"/>
      <x:c r="C69"/>
      <x:c r="D69" s="36"/>
      <x:c r="E69"/>
      <x:c r="F69"/>
    </x:row>
    <x:row r="70">
      <x:c r="A70" t="str">
        <x:f>IF(B70="","",ROW()-1)</x:f>
      </x:c>
      <x:c r="B70" s="24"/>
      <x:c r="C70"/>
      <x:c r="D70" s="36"/>
      <x:c r="E70"/>
      <x:c r="F70"/>
    </x:row>
    <x:row r="71">
      <x:c r="A71" t="str">
        <x:f>IF(B71="","",ROW()-1)</x:f>
      </x:c>
      <x:c r="B71" s="24"/>
      <x:c r="C71"/>
      <x:c r="D71" s="36"/>
      <x:c r="E71"/>
      <x:c r="F71"/>
    </x:row>
    <x:row r="72">
      <x:c r="A72" t="str">
        <x:f>IF(B72="","",ROW()-1)</x:f>
      </x:c>
      <x:c r="B72" s="24"/>
      <x:c r="C72"/>
      <x:c r="D72" s="36"/>
      <x:c r="E72"/>
      <x:c r="F72"/>
    </x:row>
    <x:row r="73">
      <x:c r="A73" t="str">
        <x:f>IF(B73="","",ROW()-1)</x:f>
      </x:c>
      <x:c r="B73" s="24"/>
      <x:c r="C73"/>
      <x:c r="D73" s="36"/>
      <x:c r="E73"/>
      <x:c r="F73"/>
    </x:row>
    <x:row r="74">
      <x:c r="A74" t="str">
        <x:f>IF(B74="","",ROW()-1)</x:f>
      </x:c>
      <x:c r="B74" s="24"/>
      <x:c r="C74"/>
      <x:c r="D74" s="36"/>
      <x:c r="E74"/>
      <x:c r="F74"/>
    </x:row>
    <x:row r="75">
      <x:c r="A75" t="str">
        <x:f>IF(B75="","",ROW()-1)</x:f>
      </x:c>
      <x:c r="B75" s="24"/>
      <x:c r="C75"/>
      <x:c r="D75" s="36"/>
      <x:c r="E75"/>
      <x:c r="F75"/>
    </x:row>
    <x:row r="76">
      <x:c r="A76" t="str">
        <x:f>IF(B76="","",ROW()-1)</x:f>
      </x:c>
      <x:c r="B76" s="24"/>
      <x:c r="C76"/>
      <x:c r="D76" s="36"/>
      <x:c r="E76"/>
      <x:c r="F76"/>
    </x:row>
    <x:row r="77">
      <x:c r="A77" t="str">
        <x:f>IF(B77="","",ROW()-1)</x:f>
      </x:c>
      <x:c r="B77" s="24"/>
      <x:c r="C77"/>
      <x:c r="D77" s="36"/>
      <x:c r="E77"/>
      <x:c r="F77"/>
    </x:row>
    <x:row r="78">
      <x:c r="A78" t="str">
        <x:f>IF(B78="","",ROW()-1)</x:f>
      </x:c>
      <x:c r="B78" s="24"/>
      <x:c r="C78"/>
      <x:c r="D78" s="36"/>
      <x:c r="E78"/>
      <x:c r="F78"/>
    </x:row>
    <x:row r="79">
      <x:c r="A79" t="str">
        <x:f>IF(B79="","",ROW()-1)</x:f>
      </x:c>
      <x:c r="B79" s="24"/>
      <x:c r="C79"/>
      <x:c r="D79" s="36"/>
      <x:c r="E79"/>
      <x:c r="F79"/>
    </x:row>
    <x:row r="80">
      <x:c r="A80" t="str">
        <x:f>IF(B80="","",ROW()-1)</x:f>
      </x:c>
      <x:c r="B80" s="24"/>
      <x:c r="C80"/>
      <x:c r="D80" s="36"/>
      <x:c r="E80"/>
      <x:c r="F80"/>
    </x:row>
    <x:row r="81">
      <x:c r="A81" t="str">
        <x:f>IF(B81="","",ROW()-1)</x:f>
      </x:c>
      <x:c r="B81" s="24"/>
      <x:c r="C81"/>
      <x:c r="D81" s="36"/>
      <x:c r="E81"/>
      <x:c r="F81"/>
    </x:row>
    <x:row r="82">
      <x:c r="A82" t="str">
        <x:f>IF(B82="","",ROW()-1)</x:f>
      </x:c>
      <x:c r="B82" s="24"/>
      <x:c r="C82"/>
      <x:c r="D82" s="36"/>
      <x:c r="E82"/>
      <x:c r="F82"/>
    </x:row>
    <x:row r="83">
      <x:c r="A83" t="str">
        <x:f>IF(B83="","",ROW()-1)</x:f>
      </x:c>
      <x:c r="B83" s="24"/>
      <x:c r="C83"/>
      <x:c r="D83" s="36"/>
      <x:c r="E83"/>
      <x:c r="F83"/>
    </x:row>
    <x:row r="84">
      <x:c r="A84" t="str">
        <x:f>IF(B84="","",ROW()-1)</x:f>
      </x:c>
      <x:c r="B84" s="24"/>
      <x:c r="C84"/>
      <x:c r="D84" s="36"/>
      <x:c r="E84"/>
      <x:c r="F84"/>
    </x:row>
    <x:row r="85">
      <x:c r="A85" t="str">
        <x:f>IF(B85="","",ROW()-1)</x:f>
      </x:c>
      <x:c r="B85" s="24"/>
      <x:c r="C85"/>
      <x:c r="D85" s="36"/>
      <x:c r="E85"/>
      <x:c r="F85"/>
    </x:row>
    <x:row r="86">
      <x:c r="A86" t="str">
        <x:f>IF(B86="","",ROW()-1)</x:f>
      </x:c>
      <x:c r="B86" s="24"/>
      <x:c r="C86"/>
      <x:c r="D86" s="36"/>
      <x:c r="E86"/>
      <x:c r="F86"/>
    </x:row>
    <x:row r="87">
      <x:c r="A87" t="str">
        <x:f>IF(B87="","",ROW()-1)</x:f>
      </x:c>
      <x:c r="B87" s="24"/>
      <x:c r="C87"/>
      <x:c r="D87" s="36"/>
      <x:c r="E87"/>
      <x:c r="F87"/>
    </x:row>
    <x:row r="88">
      <x:c r="A88" t="str">
        <x:f>IF(B88="","",ROW()-1)</x:f>
      </x:c>
      <x:c r="B88" s="24"/>
      <x:c r="C88"/>
      <x:c r="D88" s="36"/>
      <x:c r="E88"/>
      <x:c r="F88"/>
    </x:row>
    <x:row r="89">
      <x:c r="A89" t="str">
        <x:f>IF(B89="","",ROW()-1)</x:f>
      </x:c>
      <x:c r="B89" s="24"/>
      <x:c r="C89"/>
      <x:c r="D89" s="36"/>
      <x:c r="E89"/>
      <x:c r="F89"/>
    </x:row>
    <x:row r="90">
      <x:c r="A90" t="str">
        <x:f>IF(B90="","",ROW()-1)</x:f>
      </x:c>
      <x:c r="B90" s="24"/>
      <x:c r="C90"/>
      <x:c r="D90" s="36"/>
      <x:c r="E90"/>
      <x:c r="F90"/>
    </x:row>
    <x:row r="91">
      <x:c r="A91" t="str">
        <x:f>IF(B91="","",ROW()-1)</x:f>
      </x:c>
      <x:c r="B91" s="24"/>
      <x:c r="C91"/>
      <x:c r="D91" s="36"/>
      <x:c r="E91"/>
      <x:c r="F91"/>
    </x:row>
    <x:row r="92">
      <x:c r="A92" t="str">
        <x:f>IF(B92="","",ROW()-1)</x:f>
      </x:c>
      <x:c r="B92" s="24"/>
      <x:c r="C92"/>
      <x:c r="D92" s="36"/>
      <x:c r="E92"/>
      <x:c r="F92"/>
    </x:row>
    <x:row r="93">
      <x:c r="A93" t="str">
        <x:f>IF(B93="","",ROW()-1)</x:f>
      </x:c>
      <x:c r="B93" s="24"/>
      <x:c r="C93"/>
      <x:c r="D93" s="36"/>
      <x:c r="E93"/>
      <x:c r="F93"/>
    </x:row>
    <x:row r="94">
      <x:c r="A94" t="str">
        <x:f>IF(B94="","",ROW()-1)</x:f>
      </x:c>
      <x:c r="B94" s="24"/>
      <x:c r="C94"/>
      <x:c r="D94" s="36"/>
      <x:c r="E94"/>
      <x:c r="F94"/>
    </x:row>
    <x:row r="95">
      <x:c r="A95" t="str">
        <x:f>IF(B95="","",ROW()-1)</x:f>
      </x:c>
      <x:c r="B95" s="24"/>
      <x:c r="C95"/>
      <x:c r="D95" s="36"/>
      <x:c r="E95"/>
      <x:c r="F95"/>
    </x:row>
    <x:row r="96">
      <x:c r="A96" t="str">
        <x:f>IF(B96="","",ROW()-1)</x:f>
      </x:c>
      <x:c r="B96" s="24"/>
      <x:c r="C96"/>
      <x:c r="D96" s="36"/>
      <x:c r="E96"/>
      <x:c r="F96"/>
    </x:row>
    <x:row r="97">
      <x:c r="A97" t="str">
        <x:f>IF(B97="","",ROW()-1)</x:f>
      </x:c>
      <x:c r="B97" s="24"/>
      <x:c r="C97"/>
      <x:c r="D97" s="36"/>
      <x:c r="E97"/>
      <x:c r="F97"/>
    </x:row>
    <x:row r="98">
      <x:c r="A98" t="str">
        <x:f>IF(B98="","",ROW()-1)</x:f>
      </x:c>
      <x:c r="B98" s="24"/>
      <x:c r="C98"/>
      <x:c r="D98" s="36"/>
      <x:c r="E98"/>
      <x:c r="F98"/>
    </x:row>
    <x:row r="99">
      <x:c r="A99" t="str">
        <x:f>IF(B99="","",ROW()-1)</x:f>
      </x:c>
      <x:c r="B99" s="24"/>
      <x:c r="C99"/>
      <x:c r="D99" s="36"/>
      <x:c r="E99"/>
      <x:c r="F99"/>
    </x:row>
    <x:row r="100">
      <x:c r="A100" t="str">
        <x:f>IF(B100="","",ROW()-1)</x:f>
      </x:c>
      <x:c r="B100" s="24"/>
      <x:c r="C100"/>
      <x:c r="D100" s="36"/>
      <x:c r="E100"/>
      <x:c r="F100"/>
    </x:row>
    <x:row r="101">
      <x:c r="A101" t="str">
        <x:f>IF(B101="","",ROW()-1)</x:f>
      </x:c>
      <x:c r="B101" s="24"/>
      <x:c r="C101"/>
      <x:c r="D101" s="36"/>
      <x:c r="E101"/>
      <x:c r="F101"/>
    </x:row>
    <x:row r="102">
      <x:c r="A102" t="str">
        <x:f>IF(B102="","",ROW()-1)</x:f>
      </x:c>
      <x:c r="B102" s="24"/>
      <x:c r="C102"/>
      <x:c r="D102" s="36"/>
      <x:c r="E102"/>
      <x:c r="F102"/>
    </x:row>
    <x:row r="103">
      <x:c r="A103" t="str">
        <x:f>IF(B103="","",ROW()-1)</x:f>
      </x:c>
      <x:c r="B103" s="24"/>
      <x:c r="C103"/>
      <x:c r="D103" s="36"/>
      <x:c r="E103"/>
      <x:c r="F103"/>
    </x:row>
    <x:row r="104">
      <x:c r="A104" t="str">
        <x:f>IF(B104="","",ROW()-1)</x:f>
      </x:c>
      <x:c r="B104" s="24"/>
      <x:c r="C104"/>
      <x:c r="D104" s="36"/>
      <x:c r="E104"/>
      <x:c r="F104"/>
    </x:row>
    <x:row r="105">
      <x:c r="A105" t="str">
        <x:f>IF(B105="","",ROW()-1)</x:f>
      </x:c>
      <x:c r="B105" s="24"/>
      <x:c r="C105"/>
      <x:c r="D105" s="36"/>
      <x:c r="E105"/>
      <x:c r="F105"/>
    </x:row>
    <x:row r="106">
      <x:c r="A106" t="str">
        <x:f>IF(B106="","",ROW()-1)</x:f>
      </x:c>
      <x:c r="B106" s="24"/>
      <x:c r="C106"/>
      <x:c r="D106" s="36"/>
      <x:c r="E106"/>
      <x:c r="F106"/>
    </x:row>
    <x:row r="107">
      <x:c r="A107" t="str">
        <x:f>IF(B107="","",ROW()-1)</x:f>
      </x:c>
      <x:c r="B107" s="24"/>
      <x:c r="C107"/>
      <x:c r="D107" s="36"/>
      <x:c r="E107"/>
      <x:c r="F107"/>
    </x:row>
    <x:row r="108">
      <x:c r="A108" t="str">
        <x:f>IF(B108="","",ROW()-1)</x:f>
      </x:c>
      <x:c r="B108" s="24"/>
      <x:c r="C108"/>
      <x:c r="D108" s="36"/>
      <x:c r="E108"/>
      <x:c r="F108"/>
    </x:row>
    <x:row r="109">
      <x:c r="A109" t="str">
        <x:f>IF(B109="","",ROW()-1)</x:f>
      </x:c>
      <x:c r="B109" s="24"/>
      <x:c r="C109"/>
      <x:c r="D109" s="36"/>
      <x:c r="E109"/>
      <x:c r="F109"/>
    </x:row>
    <x:row r="110">
      <x:c r="A110" t="str">
        <x:f>IF(B110="","",ROW()-1)</x:f>
      </x:c>
      <x:c r="B110" s="24"/>
      <x:c r="C110"/>
      <x:c r="D110" s="36"/>
      <x:c r="E110"/>
      <x:c r="F110"/>
    </x:row>
    <x:row r="111">
      <x:c r="A111" t="str">
        <x:f>IF(B111="","",ROW()-1)</x:f>
      </x:c>
      <x:c r="B111" s="24"/>
      <x:c r="C111"/>
      <x:c r="D111" s="36"/>
      <x:c r="E111"/>
      <x:c r="F111"/>
    </x:row>
    <x:row r="112">
      <x:c r="A112" t="str">
        <x:f>IF(B112="","",ROW()-1)</x:f>
      </x:c>
      <x:c r="B112" s="24"/>
      <x:c r="C112"/>
      <x:c r="D112" s="36"/>
      <x:c r="E112"/>
      <x:c r="F112"/>
    </x:row>
    <x:row r="113">
      <x:c r="A113" t="str">
        <x:f>IF(B113="","",ROW()-1)</x:f>
      </x:c>
      <x:c r="B113" s="24"/>
      <x:c r="C113"/>
      <x:c r="D113" s="36"/>
      <x:c r="E113"/>
      <x:c r="F113"/>
    </x:row>
    <x:row r="114">
      <x:c r="A114" t="str">
        <x:f>IF(B114="","",ROW()-1)</x:f>
      </x:c>
      <x:c r="B114" s="24"/>
      <x:c r="C114"/>
      <x:c r="D114" s="36"/>
      <x:c r="E114"/>
      <x:c r="F114"/>
    </x:row>
    <x:row r="115">
      <x:c r="A115" t="str">
        <x:f>IF(B115="","",ROW()-1)</x:f>
      </x:c>
      <x:c r="B115" s="24"/>
      <x:c r="C115"/>
      <x:c r="D115" s="36"/>
      <x:c r="E115"/>
      <x:c r="F115"/>
    </x:row>
    <x:row r="116">
      <x:c r="A116" t="str">
        <x:f>IF(B116="","",ROW()-1)</x:f>
      </x:c>
      <x:c r="B116" s="24"/>
      <x:c r="C116"/>
      <x:c r="D116" s="36"/>
      <x:c r="E116"/>
      <x:c r="F116"/>
    </x:row>
    <x:row r="117">
      <x:c r="A117" t="str">
        <x:f>IF(B117="","",ROW()-1)</x:f>
      </x:c>
      <x:c r="B117" s="24"/>
      <x:c r="C117"/>
      <x:c r="D117" s="36"/>
      <x:c r="E117"/>
      <x:c r="F117"/>
    </x:row>
    <x:row r="118">
      <x:c r="A118" t="str">
        <x:f>IF(B118="","",ROW()-1)</x:f>
      </x:c>
      <x:c r="B118" s="24"/>
      <x:c r="C118"/>
      <x:c r="D118" s="36"/>
      <x:c r="E118"/>
      <x:c r="F118"/>
    </x:row>
    <x:row r="119">
      <x:c r="A119" t="str">
        <x:f>IF(B119="","",ROW()-1)</x:f>
      </x:c>
      <x:c r="B119" s="24"/>
      <x:c r="C119"/>
      <x:c r="D119" s="36"/>
      <x:c r="E119"/>
      <x:c r="F119"/>
    </x:row>
    <x:row r="120">
      <x:c r="A120" t="str">
        <x:f>IF(B120="","",ROW()-1)</x:f>
      </x:c>
      <x:c r="B120" s="24"/>
      <x:c r="C120"/>
      <x:c r="D120" s="36"/>
      <x:c r="E120"/>
      <x:c r="F120"/>
    </x:row>
    <x:row r="121">
      <x:c r="A121" t="str">
        <x:f>IF(B121="","",ROW()-1)</x:f>
      </x:c>
      <x:c r="B121" s="24"/>
      <x:c r="C121"/>
      <x:c r="D121" s="36"/>
      <x:c r="E121"/>
      <x:c r="F121"/>
    </x:row>
    <x:row r="122">
      <x:c r="A122" t="str">
        <x:f>IF(B122="","",ROW()-1)</x:f>
      </x:c>
      <x:c r="B122" s="24"/>
      <x:c r="C122"/>
      <x:c r="D122" s="36"/>
      <x:c r="E122"/>
      <x:c r="F122"/>
    </x:row>
    <x:row r="123">
      <x:c r="A123" t="str">
        <x:f>IF(B123="","",ROW()-1)</x:f>
      </x:c>
      <x:c r="B123" s="24"/>
      <x:c r="C123"/>
      <x:c r="D123" s="36"/>
      <x:c r="E123"/>
      <x:c r="F123"/>
    </x:row>
    <x:row r="124">
      <x:c r="A124" t="str">
        <x:f>IF(B124="","",ROW()-1)</x:f>
      </x:c>
      <x:c r="B124" s="24"/>
      <x:c r="C124"/>
      <x:c r="D124" s="36"/>
      <x:c r="E124"/>
      <x:c r="F124"/>
    </x:row>
    <x:row r="125">
      <x:c r="A125" t="str">
        <x:f>IF(B125="","",ROW()-1)</x:f>
      </x:c>
      <x:c r="B125" s="24"/>
      <x:c r="C125"/>
      <x:c r="D125" s="36"/>
      <x:c r="E125"/>
      <x:c r="F125"/>
    </x:row>
    <x:row r="126">
      <x:c r="A126" t="str">
        <x:f>IF(B126="","",ROW()-1)</x:f>
      </x:c>
      <x:c r="B126" s="24"/>
      <x:c r="C126"/>
      <x:c r="D126" s="36"/>
      <x:c r="E126"/>
      <x:c r="F126"/>
    </x:row>
    <x:row r="127">
      <x:c r="A127" t="str">
        <x:f>IF(B127="","",ROW()-1)</x:f>
      </x:c>
      <x:c r="B127" s="24"/>
      <x:c r="C127"/>
      <x:c r="D127" s="36"/>
      <x:c r="E127"/>
      <x:c r="F127"/>
    </x:row>
    <x:row r="128">
      <x:c r="A128" t="str">
        <x:f>IF(B128="","",ROW()-1)</x:f>
      </x:c>
      <x:c r="B128" s="24"/>
      <x:c r="C128"/>
      <x:c r="D128" s="36"/>
      <x:c r="E128"/>
      <x:c r="F128"/>
    </x:row>
    <x:row r="129">
      <x:c r="A129" t="str">
        <x:f>IF(B129="","",ROW()-1)</x:f>
      </x:c>
      <x:c r="B129" s="24"/>
      <x:c r="C129"/>
      <x:c r="D129" s="36"/>
      <x:c r="E129"/>
      <x:c r="F129"/>
    </x:row>
    <x:row r="130">
      <x:c r="A130" t="str">
        <x:f>IF(B130="","",ROW()-1)</x:f>
      </x:c>
      <x:c r="B130" s="24"/>
      <x:c r="C130"/>
      <x:c r="D130" s="36"/>
      <x:c r="E130"/>
      <x:c r="F130"/>
    </x:row>
    <x:row r="131">
      <x:c r="A131" t="str">
        <x:f>IF(B131="","",ROW()-1)</x:f>
      </x:c>
      <x:c r="B131" s="24"/>
      <x:c r="C131"/>
      <x:c r="D131" s="36"/>
      <x:c r="E131"/>
      <x:c r="F131"/>
    </x:row>
    <x:row r="132">
      <x:c r="A132" t="str">
        <x:f>IF(B132="","",ROW()-1)</x:f>
      </x:c>
      <x:c r="B132" s="24"/>
      <x:c r="C132"/>
      <x:c r="D132" s="36"/>
      <x:c r="E132"/>
      <x:c r="F132"/>
    </x:row>
    <x:row r="133">
      <x:c r="A133" t="str">
        <x:f>IF(B133="","",ROW()-1)</x:f>
      </x:c>
      <x:c r="B133" s="24"/>
      <x:c r="C133"/>
      <x:c r="D133" s="36"/>
      <x:c r="E133"/>
      <x:c r="F133"/>
    </x:row>
    <x:row r="134">
      <x:c r="A134" t="str">
        <x:f>IF(B134="","",ROW()-1)</x:f>
      </x:c>
      <x:c r="B134" s="24"/>
      <x:c r="C134"/>
      <x:c r="D134" s="36"/>
      <x:c r="E134"/>
      <x:c r="F134"/>
    </x:row>
    <x:row r="135">
      <x:c r="A135" t="str">
        <x:f>IF(B135="","",ROW()-1)</x:f>
      </x:c>
      <x:c r="B135" s="24"/>
      <x:c r="C135"/>
      <x:c r="D135" s="36"/>
      <x:c r="E135"/>
      <x:c r="F135"/>
    </x:row>
    <x:row r="136">
      <x:c r="A136" t="str">
        <x:f>IF(B136="","",ROW()-1)</x:f>
      </x:c>
      <x:c r="B136" s="24"/>
      <x:c r="C136"/>
      <x:c r="D136" s="36"/>
      <x:c r="E136"/>
      <x:c r="F136"/>
    </x:row>
    <x:row r="137">
      <x:c r="A137" t="str">
        <x:f>IF(B137="","",ROW()-1)</x:f>
      </x:c>
      <x:c r="B137" s="24"/>
      <x:c r="C137"/>
      <x:c r="D137" s="36"/>
      <x:c r="E137"/>
      <x:c r="F137"/>
    </x:row>
    <x:row r="138">
      <x:c r="A138" t="str">
        <x:f>IF(B138="","",ROW()-1)</x:f>
      </x:c>
      <x:c r="B138" s="24"/>
      <x:c r="C138"/>
      <x:c r="D138" s="36"/>
      <x:c r="E138"/>
      <x:c r="F138"/>
    </x:row>
    <x:row r="139">
      <x:c r="A139" t="str">
        <x:f>IF(B139="","",ROW()-1)</x:f>
      </x:c>
      <x:c r="B139" s="24"/>
      <x:c r="C139"/>
      <x:c r="D139" s="36"/>
      <x:c r="E139"/>
      <x:c r="F139"/>
    </x:row>
    <x:row r="140">
      <x:c r="A140" t="str">
        <x:f>IF(B140="","",ROW()-1)</x:f>
      </x:c>
      <x:c r="B140" s="24"/>
      <x:c r="C140"/>
      <x:c r="D140" s="36"/>
      <x:c r="E140"/>
      <x:c r="F140"/>
    </x:row>
    <x:row r="141">
      <x:c r="A141" t="str">
        <x:f>IF(B141="","",ROW()-1)</x:f>
      </x:c>
      <x:c r="B141" s="24"/>
      <x:c r="C141"/>
      <x:c r="D141" s="36"/>
      <x:c r="E141"/>
      <x:c r="F141"/>
    </x:row>
    <x:row r="142">
      <x:c r="A142" t="str">
        <x:f>IF(B142="","",ROW()-1)</x:f>
      </x:c>
      <x:c r="B142" s="24"/>
      <x:c r="C142"/>
      <x:c r="D142" s="36"/>
      <x:c r="E142"/>
      <x:c r="F142"/>
    </x:row>
    <x:row r="143">
      <x:c r="A143" t="str">
        <x:f>IF(B143="","",ROW()-1)</x:f>
      </x:c>
      <x:c r="B143" s="24"/>
      <x:c r="C143"/>
      <x:c r="D143" s="36"/>
      <x:c r="E143"/>
      <x:c r="F143"/>
    </x:row>
    <x:row r="144">
      <x:c r="A144" t="str">
        <x:f>IF(B144="","",ROW()-1)</x:f>
      </x:c>
      <x:c r="B144" s="24"/>
      <x:c r="C144"/>
      <x:c r="D144" s="36"/>
      <x:c r="E144"/>
      <x:c r="F144"/>
    </x:row>
    <x:row r="145">
      <x:c r="A145" t="str">
        <x:f>IF(B145="","",ROW()-1)</x:f>
      </x:c>
      <x:c r="B145" s="24"/>
      <x:c r="C145"/>
      <x:c r="D145" s="36"/>
      <x:c r="E145"/>
      <x:c r="F145"/>
    </x:row>
    <x:row r="146">
      <x:c r="A146" t="str">
        <x:f>IF(B146="","",ROW()-1)</x:f>
      </x:c>
      <x:c r="B146" s="24"/>
      <x:c r="C146"/>
      <x:c r="D146" s="36"/>
      <x:c r="E146"/>
      <x:c r="F146"/>
    </x:row>
    <x:row r="147">
      <x:c r="A147" t="str">
        <x:f>IF(B147="","",ROW()-1)</x:f>
      </x:c>
      <x:c r="B147" s="24"/>
      <x:c r="C147"/>
      <x:c r="D147" s="36"/>
      <x:c r="E147"/>
      <x:c r="F147"/>
    </x:row>
    <x:row r="148">
      <x:c r="A148" t="str">
        <x:f>IF(B148="","",ROW()-1)</x:f>
      </x:c>
      <x:c r="B148" s="24"/>
      <x:c r="C148"/>
      <x:c r="D148" s="36"/>
      <x:c r="E148"/>
      <x:c r="F148"/>
    </x:row>
    <x:row r="149">
      <x:c r="A149" t="str">
        <x:f>IF(B149="","",ROW()-1)</x:f>
      </x:c>
      <x:c r="B149" s="24"/>
      <x:c r="C149"/>
      <x:c r="D149" s="36"/>
      <x:c r="E149"/>
      <x:c r="F149"/>
    </x:row>
    <x:row r="150">
      <x:c r="A150" t="str">
        <x:f>IF(B150="","",ROW()-1)</x:f>
      </x:c>
      <x:c r="B150" s="24"/>
      <x:c r="C150"/>
      <x:c r="D150" s="36"/>
      <x:c r="E150"/>
      <x:c r="F150"/>
    </x:row>
    <x:row r="151">
      <x:c r="A151" t="str">
        <x:f>IF(B151="","",ROW()-1)</x:f>
      </x:c>
      <x:c r="B151" s="24"/>
      <x:c r="C151"/>
      <x:c r="D151" s="36"/>
      <x:c r="E151"/>
      <x:c r="F151"/>
    </x:row>
    <x:row r="152">
      <x:c r="A152" t="str">
        <x:f>IF(B152="","",ROW()-1)</x:f>
      </x:c>
      <x:c r="B152" s="24"/>
      <x:c r="C152"/>
      <x:c r="D152" s="36"/>
      <x:c r="E152"/>
      <x:c r="F152"/>
    </x:row>
    <x:row r="153">
      <x:c r="A153" t="str">
        <x:f>IF(B153="","",ROW()-1)</x:f>
      </x:c>
      <x:c r="B153" s="24"/>
      <x:c r="C153"/>
      <x:c r="D153" s="36"/>
      <x:c r="E153"/>
      <x:c r="F153"/>
    </x:row>
    <x:row r="154">
      <x:c r="A154" t="str">
        <x:f>IF(B154="","",ROW()-1)</x:f>
      </x:c>
      <x:c r="B154" s="24"/>
      <x:c r="C154"/>
      <x:c r="D154" s="36"/>
      <x:c r="E154"/>
      <x:c r="F154"/>
    </x:row>
    <x:row r="155">
      <x:c r="A155" t="str">
        <x:f>IF(B155="","",ROW()-1)</x:f>
      </x:c>
      <x:c r="B155" s="24"/>
      <x:c r="C155"/>
      <x:c r="D155" s="36"/>
      <x:c r="E155"/>
      <x:c r="F155"/>
    </x:row>
    <x:row r="156">
      <x:c r="A156" t="str">
        <x:f>IF(B156="","",ROW()-1)</x:f>
      </x:c>
      <x:c r="B156" s="24"/>
      <x:c r="C156"/>
      <x:c r="D156" s="36"/>
      <x:c r="E156"/>
      <x:c r="F156"/>
    </x:row>
    <x:row r="157">
      <x:c r="A157" t="str">
        <x:f>IF(B157="","",ROW()-1)</x:f>
      </x:c>
      <x:c r="B157" s="24"/>
      <x:c r="C157"/>
      <x:c r="D157" s="36"/>
      <x:c r="E157"/>
      <x:c r="F157"/>
    </x:row>
    <x:row r="158">
      <x:c r="A158" t="str">
        <x:f>IF(B158="","",ROW()-1)</x:f>
      </x:c>
      <x:c r="B158" s="24"/>
      <x:c r="C158"/>
      <x:c r="D158" s="36"/>
      <x:c r="E158"/>
      <x:c r="F158"/>
    </x:row>
    <x:row r="159">
      <x:c r="A159" t="str">
        <x:f>IF(B159="","",ROW()-1)</x:f>
      </x:c>
      <x:c r="B159" s="24"/>
      <x:c r="C159"/>
      <x:c r="D159" s="36"/>
      <x:c r="E159"/>
      <x:c r="F159"/>
    </x:row>
    <x:row r="160">
      <x:c r="A160" t="str">
        <x:f>IF(B160="","",ROW()-1)</x:f>
      </x:c>
      <x:c r="B160" s="24"/>
      <x:c r="C160"/>
      <x:c r="D160" s="36"/>
      <x:c r="E160"/>
      <x:c r="F160"/>
    </x:row>
    <x:row r="161">
      <x:c r="A161" t="str">
        <x:f>IF(B161="","",ROW()-1)</x:f>
      </x:c>
      <x:c r="B161" s="24"/>
      <x:c r="C161"/>
      <x:c r="D161" s="36"/>
      <x:c r="E161"/>
      <x:c r="F161"/>
    </x:row>
    <x:row r="162">
      <x:c r="A162" t="str">
        <x:f>IF(B162="","",ROW()-1)</x:f>
      </x:c>
      <x:c r="B162" s="24"/>
      <x:c r="C162"/>
      <x:c r="D162" s="36"/>
      <x:c r="E162"/>
      <x:c r="F162"/>
    </x:row>
    <x:row r="163">
      <x:c r="A163" t="str">
        <x:f>IF(B163="","",ROW()-1)</x:f>
      </x:c>
      <x:c r="B163" s="24"/>
      <x:c r="C163"/>
      <x:c r="D163" s="36"/>
      <x:c r="E163"/>
      <x:c r="F163"/>
    </x:row>
    <x:row r="164">
      <x:c r="A164" t="str">
        <x:f>IF(B164="","",ROW()-1)</x:f>
      </x:c>
      <x:c r="B164" s="24"/>
      <x:c r="C164"/>
      <x:c r="D164" s="36"/>
      <x:c r="E164"/>
      <x:c r="F164"/>
    </x:row>
    <x:row r="165">
      <x:c r="A165" t="str">
        <x:f>IF(B165="","",ROW()-1)</x:f>
      </x:c>
      <x:c r="B165" s="24"/>
      <x:c r="C165"/>
      <x:c r="D165" s="36"/>
      <x:c r="E165"/>
      <x:c r="F165"/>
    </x:row>
    <x:row r="166">
      <x:c r="A166" t="str">
        <x:f>IF(B166="","",ROW()-1)</x:f>
      </x:c>
      <x:c r="B166" s="24"/>
      <x:c r="C166"/>
      <x:c r="D166" s="36"/>
      <x:c r="E166"/>
      <x:c r="F166"/>
    </x:row>
    <x:row r="167">
      <x:c r="A167" t="str">
        <x:f>IF(B167="","",ROW()-1)</x:f>
      </x:c>
      <x:c r="B167" s="24"/>
      <x:c r="C167"/>
      <x:c r="D167" s="36"/>
      <x:c r="E167"/>
      <x:c r="F167"/>
    </x:row>
    <x:row r="168">
      <x:c r="A168" t="str">
        <x:f>IF(B168="","",ROW()-1)</x:f>
      </x:c>
      <x:c r="B168" s="24"/>
      <x:c r="C168"/>
      <x:c r="D168" s="36"/>
      <x:c r="E168"/>
      <x:c r="F168"/>
    </x:row>
    <x:row r="169">
      <x:c r="A169" t="str">
        <x:f>IF(B169="","",ROW()-1)</x:f>
      </x:c>
      <x:c r="B169" s="24"/>
      <x:c r="C169"/>
      <x:c r="D169" s="36"/>
      <x:c r="E169"/>
      <x:c r="F169"/>
    </x:row>
    <x:row r="170">
      <x:c r="A170" t="str">
        <x:f>IF(B170="","",ROW()-1)</x:f>
      </x:c>
      <x:c r="B170" s="24"/>
      <x:c r="C170"/>
      <x:c r="D170" s="36"/>
      <x:c r="E170"/>
      <x:c r="F170"/>
    </x:row>
    <x:row r="171">
      <x:c r="A171" t="str">
        <x:f>IF(B171="","",ROW()-1)</x:f>
      </x:c>
      <x:c r="B171" s="24"/>
      <x:c r="C171"/>
      <x:c r="D171" s="36"/>
      <x:c r="E171"/>
      <x:c r="F171"/>
    </x:row>
    <x:row r="172">
      <x:c r="A172" t="str">
        <x:f>IF(B172="","",ROW()-1)</x:f>
      </x:c>
      <x:c r="B172" s="24"/>
      <x:c r="C172"/>
      <x:c r="D172" s="36"/>
      <x:c r="E172"/>
      <x:c r="F172"/>
    </x:row>
    <x:row r="173">
      <x:c r="A173" t="str">
        <x:f>IF(B173="","",ROW()-1)</x:f>
      </x:c>
      <x:c r="B173" s="24"/>
      <x:c r="C173"/>
      <x:c r="D173" s="36"/>
      <x:c r="E173"/>
      <x:c r="F173"/>
    </x:row>
    <x:row r="174">
      <x:c r="A174" t="str">
        <x:f>IF(B174="","",ROW()-1)</x:f>
      </x:c>
      <x:c r="B174" s="24"/>
      <x:c r="C174"/>
      <x:c r="D174" s="36"/>
      <x:c r="E174"/>
      <x:c r="F174"/>
    </x:row>
    <x:row r="175">
      <x:c r="A175" t="str">
        <x:f>IF(B175="","",ROW()-1)</x:f>
      </x:c>
      <x:c r="B175" s="24"/>
      <x:c r="C175"/>
      <x:c r="D175" s="36"/>
      <x:c r="E175"/>
      <x:c r="F175"/>
    </x:row>
    <x:row r="176">
      <x:c r="A176" t="str">
        <x:f>IF(B176="","",ROW()-1)</x:f>
      </x:c>
      <x:c r="B176" s="24"/>
      <x:c r="C176"/>
      <x:c r="D176" s="36"/>
      <x:c r="E176"/>
      <x:c r="F176"/>
    </x:row>
    <x:row r="177">
      <x:c r="A177" t="str">
        <x:f>IF(B177="","",ROW()-1)</x:f>
      </x:c>
      <x:c r="B177" s="24"/>
      <x:c r="C177"/>
      <x:c r="D177" s="36"/>
      <x:c r="E177"/>
      <x:c r="F177"/>
    </x:row>
    <x:row r="178">
      <x:c r="A178" t="str">
        <x:f>IF(B178="","",ROW()-1)</x:f>
      </x:c>
      <x:c r="B178" s="24"/>
      <x:c r="C178"/>
      <x:c r="D178" s="36"/>
      <x:c r="E178"/>
      <x:c r="F178"/>
    </x:row>
    <x:row r="179">
      <x:c r="A179" t="str">
        <x:f>IF(B179="","",ROW()-1)</x:f>
      </x:c>
      <x:c r="B179" s="24"/>
      <x:c r="C179"/>
      <x:c r="D179" s="36"/>
      <x:c r="E179"/>
      <x:c r="F179"/>
    </x:row>
    <x:row r="180">
      <x:c r="A180" t="str">
        <x:f>IF(B180="","",ROW()-1)</x:f>
      </x:c>
      <x:c r="B180" s="24"/>
      <x:c r="C180"/>
      <x:c r="D180" s="36"/>
      <x:c r="E180"/>
      <x:c r="F180"/>
    </x:row>
    <x:row r="181">
      <x:c r="A181" t="str">
        <x:f>IF(B181="","",ROW()-1)</x:f>
      </x:c>
      <x:c r="B181" s="24"/>
      <x:c r="C181"/>
      <x:c r="D181" s="36"/>
      <x:c r="E181"/>
      <x:c r="F181"/>
    </x:row>
    <x:row r="182">
      <x:c r="A182" t="str">
        <x:f>IF(B182="","",ROW()-1)</x:f>
      </x:c>
      <x:c r="B182" s="24"/>
      <x:c r="C182"/>
      <x:c r="D182" s="36"/>
      <x:c r="E182"/>
      <x:c r="F182"/>
    </x:row>
    <x:row r="183">
      <x:c r="A183" t="str">
        <x:f>IF(B183="","",ROW()-1)</x:f>
      </x:c>
      <x:c r="B183" s="24"/>
      <x:c r="C183"/>
      <x:c r="D183" s="36"/>
      <x:c r="E183"/>
      <x:c r="F183"/>
    </x:row>
    <x:row r="184">
      <x:c r="A184" t="str">
        <x:f>IF(B184="","",ROW()-1)</x:f>
      </x:c>
      <x:c r="B184" s="24"/>
      <x:c r="C184"/>
      <x:c r="D184" s="36"/>
      <x:c r="E184"/>
      <x:c r="F184"/>
    </x:row>
    <x:row r="185">
      <x:c r="A185" t="str">
        <x:f>IF(B185="","",ROW()-1)</x:f>
      </x:c>
      <x:c r="B185" s="24"/>
      <x:c r="C185"/>
      <x:c r="D185" s="36"/>
      <x:c r="E185"/>
      <x:c r="F185"/>
    </x:row>
    <x:row r="186">
      <x:c r="A186" t="str">
        <x:f>IF(B186="","",ROW()-1)</x:f>
      </x:c>
      <x:c r="B186" s="24"/>
      <x:c r="C186"/>
      <x:c r="D186" s="36"/>
      <x:c r="E186"/>
      <x:c r="F186"/>
    </x:row>
    <x:row r="187">
      <x:c r="A187" t="str">
        <x:f>IF(B187="","",ROW()-1)</x:f>
      </x:c>
      <x:c r="B187" s="24"/>
      <x:c r="C187"/>
      <x:c r="D187" s="36"/>
      <x:c r="E187"/>
      <x:c r="F187"/>
    </x:row>
    <x:row r="188">
      <x:c r="A188" t="str">
        <x:f>IF(B188="","",ROW()-1)</x:f>
      </x:c>
      <x:c r="B188" s="24"/>
      <x:c r="C188"/>
      <x:c r="D188" s="36"/>
      <x:c r="E188"/>
      <x:c r="F188"/>
    </x:row>
    <x:row r="189">
      <x:c r="A189" t="str">
        <x:f>IF(B189="","",ROW()-1)</x:f>
      </x:c>
      <x:c r="B189" s="24"/>
      <x:c r="C189"/>
      <x:c r="D189" s="36"/>
      <x:c r="E189"/>
      <x:c r="F189"/>
    </x:row>
    <x:row r="190">
      <x:c r="A190" t="str">
        <x:f>IF(B190="","",ROW()-1)</x:f>
      </x:c>
      <x:c r="B190" s="24"/>
      <x:c r="C190"/>
      <x:c r="D190" s="36"/>
      <x:c r="E190"/>
      <x:c r="F190"/>
    </x:row>
    <x:row r="191">
      <x:c r="A191" t="str">
        <x:f>IF(B191="","",ROW()-1)</x:f>
      </x:c>
      <x:c r="B191" s="24"/>
      <x:c r="C191"/>
      <x:c r="D191" s="36"/>
      <x:c r="E191"/>
      <x:c r="F191"/>
    </x:row>
    <x:row r="192">
      <x:c r="A192" t="str">
        <x:f>IF(B192="","",ROW()-1)</x:f>
      </x:c>
      <x:c r="B192" s="24"/>
      <x:c r="C192"/>
      <x:c r="D192" s="36"/>
      <x:c r="E192"/>
      <x:c r="F192"/>
    </x:row>
    <x:row r="193">
      <x:c r="A193" t="str">
        <x:f>IF(B193="","",ROW()-1)</x:f>
      </x:c>
      <x:c r="B193" s="24"/>
      <x:c r="C193"/>
      <x:c r="D193" s="36"/>
      <x:c r="E193"/>
      <x:c r="F193"/>
    </x:row>
    <x:row r="194">
      <x:c r="A194" t="str">
        <x:f>IF(B194="","",ROW()-1)</x:f>
      </x:c>
      <x:c r="B194" s="24"/>
      <x:c r="C194"/>
      <x:c r="D194" s="36"/>
      <x:c r="E194"/>
      <x:c r="F194"/>
    </x:row>
    <x:row r="195">
      <x:c r="A195" t="str">
        <x:f>IF(B195="","",ROW()-1)</x:f>
      </x:c>
      <x:c r="B195" s="24"/>
      <x:c r="C195"/>
      <x:c r="D195" s="36"/>
      <x:c r="E195"/>
      <x:c r="F195"/>
    </x:row>
    <x:row r="196">
      <x:c r="A196" t="str">
        <x:f>IF(B196="","",ROW()-1)</x:f>
      </x:c>
      <x:c r="B196" s="24"/>
      <x:c r="C196"/>
      <x:c r="D196" s="36"/>
      <x:c r="E196"/>
      <x:c r="F196"/>
    </x:row>
    <x:row r="197">
      <x:c r="A197" t="str">
        <x:f>IF(B197="","",ROW()-1)</x:f>
      </x:c>
      <x:c r="B197" s="24"/>
      <x:c r="C197"/>
      <x:c r="D197" s="36"/>
      <x:c r="E197"/>
      <x:c r="F197"/>
    </x:row>
    <x:row r="198">
      <x:c r="A198" t="str">
        <x:f>IF(B198="","",ROW()-1)</x:f>
      </x:c>
      <x:c r="B198" s="24"/>
      <x:c r="C198"/>
      <x:c r="D198" s="36"/>
      <x:c r="E198"/>
      <x:c r="F198"/>
    </x:row>
    <x:row r="199">
      <x:c r="A199" t="str">
        <x:f>IF(B199="","",ROW()-1)</x:f>
      </x:c>
      <x:c r="B199" s="24"/>
      <x:c r="C199"/>
      <x:c r="D199" s="36"/>
      <x:c r="E199"/>
      <x:c r="F199"/>
    </x:row>
    <x:row r="200">
      <x:c r="A200" t="str">
        <x:f>IF(B200="","",ROW()-1)</x:f>
      </x:c>
      <x:c r="B200" s="24"/>
      <x:c r="C200"/>
      <x:c r="D200" s="36"/>
      <x:c r="E200"/>
      <x:c r="F200"/>
    </x:row>
    <x:row r="201">
      <x:c r="A201" t="str">
        <x:f>IF(B201="","",ROW()-1)</x:f>
      </x:c>
      <x:c r="B201" s="24"/>
      <x:c r="C201"/>
      <x:c r="D201" s="36"/>
      <x:c r="E201"/>
      <x:c r="F201"/>
    </x:row>
  </x:sheetData>
  <x:pageMargins left="0.7" right="0.7" top="0.75" bottom="0.75" header="0.3" footer="0.3"/>
  <x:tableParts count="1">
    <x:tablePart xmlns:r="http://schemas.openxmlformats.org/officeDocument/2006/relationships" r:id="R6d004d369ff940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12.649999618530273" hidden="0" customWidth="1"/>
    <x:col min="3" max="3" width="14.130000114440918" hidden="0" customWidth="1"/>
    <x:col min="4" max="4" width="12.520000457763672" hidden="0" customWidth="1"/>
    <x:col min="5" max="5" width="10.359999656677246" hidden="0" customWidth="1"/>
    <x:col min="6" max="6" width="10.630000114440918" hidden="0" customWidth="1"/>
    <x:col min="7" max="7" width="14.9399995803833" hidden="0" customWidth="1"/>
    <x:col min="8" max="8" width="19.920000076293945" hidden="0" customWidth="1"/>
    <x:col min="9" max="9" width="7" hidden="0" customWidth="1"/>
  </x:cols>
  <x:sheetData>
    <x:row r="1">
      <x:c r="A1" s="12" t="str">
        <x:v>Month</x:v>
      </x:c>
      <x:c r="B1" s="12" t="str">
        <x:v>Expected Hours</x:v>
      </x:c>
      <x:c r="C1" s="12" t="str">
        <x:v>Completed Hours</x:v>
      </x:c>
      <x:c r="D1" s="12" t="str">
        <x:v>Shortage Hours</x:v>
      </x:c>
      <x:c r="E1" s="12" t="str">
        <x:v>Excess Hours</x:v>
      </x:c>
      <x:c r="F1" s="12" t="str">
        <x:v>Tuition Value</x:v>
      </x:c>
      <x:c r="G1" s="12" t="str">
        <x:v>Payment Received</x:v>
      </x:c>
      <x:c r="H1" s="12" t="str">
        <x:v>Net Refundable/Balance</x:v>
      </x:c>
      <x:c r="I1" s="12" t="str">
        <x:v>Status</x:v>
      </x:c>
    </x:row>
    <x:row r="2">
      <x:c r="A2" s="38" t="n">
        <x:v>45809</x:v>
      </x:c>
      <x:c r="B2" s="22" t="n">
        <x:f>IF(A2="","",START_HERE!$B$6)</x:f>
        <x:v>39</x:v>
      </x:c>
      <x:c r="C2" s="22" t="n">
        <x:f>ROUND(SUMIFS(Attendance_Ledger_Input!$H:$H,Attendance_Ledger_Input!$B:$B,"&gt;="&amp;A2,Attendance_Ledger_Input!$B:$B,"&lt;"&amp;EDATE(A2,1),Attendance_Ledger_Input!$J:$J,"Completed"),2)</x:f>
        <x:v>38.98</x:v>
      </x:c>
      <x:c r="D2" s="22" t="n">
        <x:f>MAX(0,B2-C2)</x:f>
        <x:v>0.020000000000003126</x:v>
      </x:c>
      <x:c r="E2" s="22" t="n">
        <x:f>MAX(0,C2-B2)</x:f>
        <x:v>0</x:v>
      </x:c>
      <x:c r="F2" s="22" t="n">
        <x:f>ROUND(C2*START_HERE!$B$4,2)</x:f>
        <x:v>14968.32</x:v>
      </x:c>
      <x:c r="G2" s="22" t="n">
        <x:f>ROUND(SUMIFS(Payments_Input!$D:$D,Payments_Input!$B:$B,"&gt;="&amp;A2,Payments_Input!$B:$B,"&lt;"&amp;EDATE(A2,1)),2)</x:f>
        <x:v>1000</x:v>
      </x:c>
      <x:c r="H2" s="22" t="n">
        <x:f>ROUND(G2-F2,2)</x:f>
        <x:v>-13968.32</x:v>
      </x:c>
      <x:c r="I2" t="str">
        <x:f>IF(C2=0,"No entry",IF(D2=0,"Complete/Excess","Short"))</x:f>
        <x:v>Short</x:v>
      </x:c>
    </x:row>
    <x:row r="3">
      <x:c r="A3" s="38" t="n">
        <x:v>45839</x:v>
      </x:c>
      <x:c r="B3" s="22" t="n">
        <x:f>IF(A3="","",START_HERE!$B$6)</x:f>
        <x:v>39</x:v>
      </x:c>
      <x:c r="C3" s="22" t="n">
        <x:f>ROUND(SUMIFS(Attendance_Ledger_Input!$H:$H,Attendance_Ledger_Input!$B:$B,"&gt;="&amp;A3,Attendance_Ledger_Input!$B:$B,"&lt;"&amp;EDATE(A3,1),Attendance_Ledger_Input!$J:$J,"Completed"),2)</x:f>
        <x:v>20.91</x:v>
      </x:c>
      <x:c r="D3" s="22" t="n">
        <x:f>MAX(0,B3-C3)</x:f>
        <x:v>18.09</x:v>
      </x:c>
      <x:c r="E3" s="22" t="n">
        <x:f>MAX(0,C3-B3)</x:f>
        <x:v>0</x:v>
      </x:c>
      <x:c r="F3" s="22" t="n">
        <x:f>ROUND(C3*START_HERE!$B$4,2)</x:f>
        <x:v>8029.44</x:v>
      </x:c>
      <x:c r="G3" s="22" t="n">
        <x:f>ROUND(SUMIFS(Payments_Input!$D:$D,Payments_Input!$B:$B,"&gt;="&amp;A3,Payments_Input!$B:$B,"&lt;"&amp;EDATE(A3,1)),2)</x:f>
        <x:v>23000</x:v>
      </x:c>
      <x:c r="H3" s="22" t="n">
        <x:f>ROUND(G3-F3,2)</x:f>
        <x:v>14970.56</x:v>
      </x:c>
      <x:c r="I3" t="str">
        <x:f>IF(C3=0,"No entry",IF(D3=0,"Complete/Excess","Short"))</x:f>
        <x:v>Short</x:v>
      </x:c>
    </x:row>
    <x:row r="4">
      <x:c r="A4" s="38" t="n">
        <x:v>45870</x:v>
      </x:c>
      <x:c r="B4" s="22" t="n">
        <x:f>IF(A4="","",START_HERE!$B$6)</x:f>
        <x:v>39</x:v>
      </x:c>
      <x:c r="C4" s="22" t="n">
        <x:f>ROUND(SUMIFS(Attendance_Ledger_Input!$H:$H,Attendance_Ledger_Input!$B:$B,"&gt;="&amp;A4,Attendance_Ledger_Input!$B:$B,"&lt;"&amp;EDATE(A4,1),Attendance_Ledger_Input!$J:$J,"Completed"),2)</x:f>
        <x:v>15.93</x:v>
      </x:c>
      <x:c r="D4" s="22" t="n">
        <x:f>MAX(0,B4-C4)</x:f>
        <x:v>23.07</x:v>
      </x:c>
      <x:c r="E4" s="22" t="n">
        <x:f>MAX(0,C4-B4)</x:f>
        <x:v>0</x:v>
      </x:c>
      <x:c r="F4" s="22" t="n">
        <x:f>ROUND(C4*START_HERE!$B$4,2)</x:f>
        <x:v>6117.12</x:v>
      </x:c>
      <x:c r="G4" s="22" t="n">
        <x:f>ROUND(SUMIFS(Payments_Input!$D:$D,Payments_Input!$B:$B,"&gt;="&amp;A4,Payments_Input!$B:$B,"&lt;"&amp;EDATE(A4,1)),2)</x:f>
        <x:v>700</x:v>
      </x:c>
      <x:c r="H4" s="22" t="n">
        <x:f>ROUND(G4-F4,2)</x:f>
        <x:v>-5417.12</x:v>
      </x:c>
      <x:c r="I4" t="str">
        <x:f>IF(C4=0,"No entry",IF(D4=0,"Complete/Excess","Short"))</x:f>
        <x:v>Short</x:v>
      </x:c>
    </x:row>
    <x:row r="5">
      <x:c r="A5" s="38" t="n">
        <x:v>45901</x:v>
      </x:c>
      <x:c r="B5" s="22" t="n">
        <x:f>IF(A5="","",START_HERE!$B$6)</x:f>
        <x:v>39</x:v>
      </x:c>
      <x:c r="C5" s="22" t="n">
        <x:f>ROUND(SUMIFS(Attendance_Ledger_Input!$H:$H,Attendance_Ledger_Input!$B:$B,"&gt;="&amp;A5,Attendance_Ledger_Input!$B:$B,"&lt;"&amp;EDATE(A5,1),Attendance_Ledger_Input!$J:$J,"Completed"),2)</x:f>
        <x:v>12.08</x:v>
      </x:c>
      <x:c r="D5" s="22" t="n">
        <x:f>MAX(0,B5-C5)</x:f>
        <x:v>26.92</x:v>
      </x:c>
      <x:c r="E5" s="22" t="n">
        <x:f>MAX(0,C5-B5)</x:f>
        <x:v>0</x:v>
      </x:c>
      <x:c r="F5" s="22" t="n">
        <x:f>ROUND(C5*START_HERE!$B$4,2)</x:f>
        <x:v>4638.72</x:v>
      </x:c>
      <x:c r="G5" s="22" t="n">
        <x:f>ROUND(SUMIFS(Payments_Input!$D:$D,Payments_Input!$B:$B,"&gt;="&amp;A5,Payments_Input!$B:$B,"&lt;"&amp;EDATE(A5,1)),2)</x:f>
        <x:v>10000</x:v>
      </x:c>
      <x:c r="H5" s="22" t="n">
        <x:f>ROUND(G5-F5,2)</x:f>
        <x:v>5361.28</x:v>
      </x:c>
      <x:c r="I5" t="str">
        <x:f>IF(C5=0,"No entry",IF(D5=0,"Complete/Excess","Short"))</x:f>
        <x:v>Short</x:v>
      </x:c>
    </x:row>
    <x:row r="6">
      <x:c r="A6" s="38" t="n">
        <x:v>45931</x:v>
      </x:c>
      <x:c r="B6" s="22" t="n">
        <x:f>IF(A6="","",START_HERE!$B$6)</x:f>
        <x:v>39</x:v>
      </x:c>
      <x:c r="C6" s="22" t="n">
        <x:f>ROUND(SUMIFS(Attendance_Ledger_Input!$H:$H,Attendance_Ledger_Input!$B:$B,"&gt;="&amp;A6,Attendance_Ledger_Input!$B:$B,"&lt;"&amp;EDATE(A6,1),Attendance_Ledger_Input!$J:$J,"Completed"),2)</x:f>
        <x:v>6.33</x:v>
      </x:c>
      <x:c r="D6" s="22" t="n">
        <x:f>MAX(0,B6-C6)</x:f>
        <x:v>32.67</x:v>
      </x:c>
      <x:c r="E6" s="22" t="n">
        <x:f>MAX(0,C6-B6)</x:f>
        <x:v>0</x:v>
      </x:c>
      <x:c r="F6" s="22" t="n">
        <x:f>ROUND(C6*START_HERE!$B$4,2)</x:f>
        <x:v>2430.72</x:v>
      </x:c>
      <x:c r="G6" s="22" t="n">
        <x:f>ROUND(SUMIFS(Payments_Input!$D:$D,Payments_Input!$B:$B,"&gt;="&amp;A6,Payments_Input!$B:$B,"&lt;"&amp;EDATE(A6,1)),2)</x:f>
        <x:v>7000</x:v>
      </x:c>
      <x:c r="H6" s="22" t="n">
        <x:f>ROUND(G6-F6,2)</x:f>
        <x:v>4569.28</x:v>
      </x:c>
      <x:c r="I6" t="str">
        <x:f>IF(C6=0,"No entry",IF(D6=0,"Complete/Excess","Short"))</x:f>
        <x:v>Short</x:v>
      </x:c>
    </x:row>
    <x:row r="7">
      <x:c r="A7" s="38" t="n">
        <x:v>45962</x:v>
      </x:c>
      <x:c r="B7" s="22" t="n">
        <x:f>IF(A7="","",START_HERE!$B$6)</x:f>
        <x:v>39</x:v>
      </x:c>
      <x:c r="C7" s="22" t="n">
        <x:f>ROUND(SUMIFS(Attendance_Ledger_Input!$H:$H,Attendance_Ledger_Input!$B:$B,"&gt;="&amp;A7,Attendance_Ledger_Input!$B:$B,"&lt;"&amp;EDATE(A7,1),Attendance_Ledger_Input!$J:$J,"Completed"),2)</x:f>
        <x:v>3.5</x:v>
      </x:c>
      <x:c r="D7" s="22" t="n">
        <x:f>MAX(0,B7-C7)</x:f>
        <x:v>35.5</x:v>
      </x:c>
      <x:c r="E7" s="22" t="n">
        <x:f>MAX(0,C7-B7)</x:f>
        <x:v>0</x:v>
      </x:c>
      <x:c r="F7" s="22" t="n">
        <x:f>ROUND(C7*START_HERE!$B$4,2)</x:f>
        <x:v>1344</x:v>
      </x:c>
      <x:c r="G7" s="22" t="n">
        <x:f>ROUND(SUMIFS(Payments_Input!$D:$D,Payments_Input!$B:$B,"&gt;="&amp;A7,Payments_Input!$B:$B,"&lt;"&amp;EDATE(A7,1)),2)</x:f>
        <x:v>5764</x:v>
      </x:c>
      <x:c r="H7" s="22" t="n">
        <x:f>ROUND(G7-F7,2)</x:f>
        <x:v>4420</x:v>
      </x:c>
      <x:c r="I7" t="str">
        <x:f>IF(C7=0,"No entry",IF(D7=0,"Complete/Excess","Short"))</x:f>
        <x:v>Short</x:v>
      </x:c>
    </x:row>
    <x:row r="8">
      <x:c r="A8" s="38" t="n">
        <x:v>45992</x:v>
      </x:c>
      <x:c r="B8" s="22" t="n">
        <x:f>IF(A8="","",START_HERE!$B$6)</x:f>
        <x:v>39</x:v>
      </x:c>
      <x:c r="C8" s="22" t="n">
        <x:f>ROUND(SUMIFS(Attendance_Ledger_Input!$H:$H,Attendance_Ledger_Input!$B:$B,"&gt;="&amp;A8,Attendance_Ledger_Input!$B:$B,"&lt;"&amp;EDATE(A8,1),Attendance_Ledger_Input!$J:$J,"Completed"),2)</x:f>
        <x:v>0</x:v>
      </x:c>
      <x:c r="D8" s="22" t="n">
        <x:f>MAX(0,B8-C8)</x:f>
        <x:v>39</x:v>
      </x:c>
      <x:c r="E8" s="22" t="n">
        <x:f>MAX(0,C8-B8)</x:f>
        <x:v>0</x:v>
      </x:c>
      <x:c r="F8" s="22" t="n">
        <x:f>ROUND(C8*START_HERE!$B$4,2)</x:f>
        <x:v>0</x:v>
      </x:c>
      <x:c r="G8" s="22" t="n">
        <x:f>ROUND(SUMIFS(Payments_Input!$D:$D,Payments_Input!$B:$B,"&gt;="&amp;A8,Payments_Input!$B:$B,"&lt;"&amp;EDATE(A8,1)),2)</x:f>
        <x:v>11000</x:v>
      </x:c>
      <x:c r="H8" s="22" t="n">
        <x:f>ROUND(G8-F8,2)</x:f>
        <x:v>11000</x:v>
      </x:c>
      <x:c r="I8" t="str">
        <x:f>IF(C8=0,"No entry",IF(D8=0,"Complete/Excess","Short"))</x:f>
        <x:v>No entry</x:v>
      </x:c>
    </x:row>
    <x:row r="9">
      <x:c r="A9" s="38" t="n">
        <x:v>46023</x:v>
      </x:c>
      <x:c r="B9" s="22" t="n">
        <x:f>IF(A9="","",START_HERE!$B$6)</x:f>
        <x:v>39</x:v>
      </x:c>
      <x:c r="C9" s="22" t="n">
        <x:f>ROUND(SUMIFS(Attendance_Ledger_Input!$H:$H,Attendance_Ledger_Input!$B:$B,"&gt;="&amp;A9,Attendance_Ledger_Input!$B:$B,"&lt;"&amp;EDATE(A9,1),Attendance_Ledger_Input!$J:$J,"Completed"),2)</x:f>
        <x:v>0</x:v>
      </x:c>
      <x:c r="D9" s="22" t="n">
        <x:f>MAX(0,B9-C9)</x:f>
        <x:v>39</x:v>
      </x:c>
      <x:c r="E9" s="22" t="n">
        <x:f>MAX(0,C9-B9)</x:f>
        <x:v>0</x:v>
      </x:c>
      <x:c r="F9" s="22" t="n">
        <x:f>ROUND(C9*START_HERE!$B$4,2)</x:f>
        <x:v>0</x:v>
      </x:c>
      <x:c r="G9" s="22" t="n">
        <x:f>ROUND(SUMIFS(Payments_Input!$D:$D,Payments_Input!$B:$B,"&gt;="&amp;A9,Payments_Input!$B:$B,"&lt;"&amp;EDATE(A9,1)),2)</x:f>
        <x:v>0</x:v>
      </x:c>
      <x:c r="H9" s="22" t="n">
        <x:f>ROUND(G9-F9,2)</x:f>
        <x:v>0</x:v>
      </x:c>
      <x:c r="I9" t="str">
        <x:f>IF(C9=0,"No entry",IF(D9=0,"Complete/Excess","Short"))</x:f>
        <x:v>No entry</x:v>
      </x:c>
    </x:row>
    <x:row r="10">
      <x:c r="A10" s="38" t="n">
        <x:v>46054</x:v>
      </x:c>
      <x:c r="B10" s="22" t="n">
        <x:f>IF(A10="","",START_HERE!$B$6)</x:f>
        <x:v>39</x:v>
      </x:c>
      <x:c r="C10" s="22" t="n">
        <x:f>ROUND(SUMIFS(Attendance_Ledger_Input!$H:$H,Attendance_Ledger_Input!$B:$B,"&gt;="&amp;A10,Attendance_Ledger_Input!$B:$B,"&lt;"&amp;EDATE(A10,1),Attendance_Ledger_Input!$J:$J,"Completed"),2)</x:f>
        <x:v>0</x:v>
      </x:c>
      <x:c r="D10" s="22" t="n">
        <x:f>MAX(0,B10-C10)</x:f>
        <x:v>39</x:v>
      </x:c>
      <x:c r="E10" s="22" t="n">
        <x:f>MAX(0,C10-B10)</x:f>
        <x:v>0</x:v>
      </x:c>
      <x:c r="F10" s="22" t="n">
        <x:f>ROUND(C10*START_HERE!$B$4,2)</x:f>
        <x:v>0</x:v>
      </x:c>
      <x:c r="G10" s="22" t="n">
        <x:f>ROUND(SUMIFS(Payments_Input!$D:$D,Payments_Input!$B:$B,"&gt;="&amp;A10,Payments_Input!$B:$B,"&lt;"&amp;EDATE(A10,1)),2)</x:f>
        <x:v>0</x:v>
      </x:c>
      <x:c r="H10" s="22" t="n">
        <x:f>ROUND(G10-F10,2)</x:f>
        <x:v>0</x:v>
      </x:c>
      <x:c r="I10" t="str">
        <x:f>IF(C10=0,"No entry",IF(D10=0,"Complete/Excess","Short"))</x:f>
        <x:v>No entry</x:v>
      </x:c>
    </x:row>
    <x:row r="11">
      <x:c r="A11" s="38" t="n">
        <x:v>46082</x:v>
      </x:c>
      <x:c r="B11" s="22" t="n">
        <x:f>IF(A11="","",START_HERE!$B$6)</x:f>
        <x:v>39</x:v>
      </x:c>
      <x:c r="C11" s="22" t="n">
        <x:f>ROUND(SUMIFS(Attendance_Ledger_Input!$H:$H,Attendance_Ledger_Input!$B:$B,"&gt;="&amp;A11,Attendance_Ledger_Input!$B:$B,"&lt;"&amp;EDATE(A11,1),Attendance_Ledger_Input!$J:$J,"Completed"),2)</x:f>
        <x:v>0</x:v>
      </x:c>
      <x:c r="D11" s="22" t="n">
        <x:f>MAX(0,B11-C11)</x:f>
        <x:v>39</x:v>
      </x:c>
      <x:c r="E11" s="22" t="n">
        <x:f>MAX(0,C11-B11)</x:f>
        <x:v>0</x:v>
      </x:c>
      <x:c r="F11" s="22" t="n">
        <x:f>ROUND(C11*START_HERE!$B$4,2)</x:f>
        <x:v>0</x:v>
      </x:c>
      <x:c r="G11" s="22" t="n">
        <x:f>ROUND(SUMIFS(Payments_Input!$D:$D,Payments_Input!$B:$B,"&gt;="&amp;A11,Payments_Input!$B:$B,"&lt;"&amp;EDATE(A11,1)),2)</x:f>
        <x:v>0</x:v>
      </x:c>
      <x:c r="H11" s="22" t="n">
        <x:f>ROUND(G11-F11,2)</x:f>
        <x:v>0</x:v>
      </x:c>
      <x:c r="I11" t="str">
        <x:f>IF(C11=0,"No entry",IF(D11=0,"Complete/Excess","Short"))</x:f>
        <x:v>No entry</x:v>
      </x:c>
    </x:row>
    <x:row r="12">
      <x:c r="A12" s="38" t="n">
        <x:v>46113</x:v>
      </x:c>
      <x:c r="B12" s="22" t="n">
        <x:f>IF(A12="","",START_HERE!$B$6)</x:f>
        <x:v>39</x:v>
      </x:c>
      <x:c r="C12" s="22" t="n">
        <x:f>ROUND(SUMIFS(Attendance_Ledger_Input!$H:$H,Attendance_Ledger_Input!$B:$B,"&gt;="&amp;A12,Attendance_Ledger_Input!$B:$B,"&lt;"&amp;EDATE(A12,1),Attendance_Ledger_Input!$J:$J,"Completed"),2)</x:f>
        <x:v>0</x:v>
      </x:c>
      <x:c r="D12" s="22" t="n">
        <x:f>MAX(0,B12-C12)</x:f>
        <x:v>39</x:v>
      </x:c>
      <x:c r="E12" s="22" t="n">
        <x:f>MAX(0,C12-B12)</x:f>
        <x:v>0</x:v>
      </x:c>
      <x:c r="F12" s="22" t="n">
        <x:f>ROUND(C12*START_HERE!$B$4,2)</x:f>
        <x:v>0</x:v>
      </x:c>
      <x:c r="G12" s="22" t="n">
        <x:f>ROUND(SUMIFS(Payments_Input!$D:$D,Payments_Input!$B:$B,"&gt;="&amp;A12,Payments_Input!$B:$B,"&lt;"&amp;EDATE(A12,1)),2)</x:f>
        <x:v>0</x:v>
      </x:c>
      <x:c r="H12" s="22" t="n">
        <x:f>ROUND(G12-F12,2)</x:f>
        <x:v>0</x:v>
      </x:c>
      <x:c r="I12" t="str">
        <x:f>IF(C12=0,"No entry",IF(D12=0,"Complete/Excess","Short"))</x:f>
        <x:v>No entry</x:v>
      </x:c>
    </x:row>
    <x:row r="13">
      <x:c r="A13" s="38" t="n">
        <x:v>46143</x:v>
      </x:c>
      <x:c r="B13" s="22" t="n">
        <x:f>IF(A13="","",START_HERE!$B$6)</x:f>
        <x:v>39</x:v>
      </x:c>
      <x:c r="C13" s="22" t="n">
        <x:f>ROUND(SUMIFS(Attendance_Ledger_Input!$H:$H,Attendance_Ledger_Input!$B:$B,"&gt;="&amp;A13,Attendance_Ledger_Input!$B:$B,"&lt;"&amp;EDATE(A13,1),Attendance_Ledger_Input!$J:$J,"Completed"),2)</x:f>
        <x:v>0</x:v>
      </x:c>
      <x:c r="D13" s="22" t="n">
        <x:f>MAX(0,B13-C13)</x:f>
        <x:v>39</x:v>
      </x:c>
      <x:c r="E13" s="22" t="n">
        <x:f>MAX(0,C13-B13)</x:f>
        <x:v>0</x:v>
      </x:c>
      <x:c r="F13" s="22" t="n">
        <x:f>ROUND(C13*START_HERE!$B$4,2)</x:f>
        <x:v>0</x:v>
      </x:c>
      <x:c r="G13" s="22" t="n">
        <x:f>ROUND(SUMIFS(Payments_Input!$D:$D,Payments_Input!$B:$B,"&gt;="&amp;A13,Payments_Input!$B:$B,"&lt;"&amp;EDATE(A13,1)),2)</x:f>
        <x:v>0</x:v>
      </x:c>
      <x:c r="H13" s="22" t="n">
        <x:f>ROUND(G13-F13,2)</x:f>
        <x:v>0</x:v>
      </x:c>
      <x:c r="I13" t="str">
        <x:f>IF(C13=0,"No entry",IF(D13=0,"Complete/Excess","Short"))</x:f>
        <x:v>No entry</x:v>
      </x:c>
    </x:row>
    <x:row r="14">
      <x:c r="A14" s="38" t="n">
        <x:v>46174</x:v>
      </x:c>
      <x:c r="B14" s="22" t="n">
        <x:f>IF(A14="","",START_HERE!$B$6)</x:f>
        <x:v>39</x:v>
      </x:c>
      <x:c r="C14" s="22" t="n">
        <x:f>ROUND(SUMIFS(Attendance_Ledger_Input!$H:$H,Attendance_Ledger_Input!$B:$B,"&gt;="&amp;A14,Attendance_Ledger_Input!$B:$B,"&lt;"&amp;EDATE(A14,1),Attendance_Ledger_Input!$J:$J,"Completed"),2)</x:f>
        <x:v>0</x:v>
      </x:c>
      <x:c r="D14" s="22" t="n">
        <x:f>MAX(0,B14-C14)</x:f>
        <x:v>39</x:v>
      </x:c>
      <x:c r="E14" s="22" t="n">
        <x:f>MAX(0,C14-B14)</x:f>
        <x:v>0</x:v>
      </x:c>
      <x:c r="F14" s="22" t="n">
        <x:f>ROUND(C14*START_HERE!$B$4,2)</x:f>
        <x:v>0</x:v>
      </x:c>
      <x:c r="G14" s="22" t="n">
        <x:f>ROUND(SUMIFS(Payments_Input!$D:$D,Payments_Input!$B:$B,"&gt;="&amp;A14,Payments_Input!$B:$B,"&lt;"&amp;EDATE(A14,1)),2)</x:f>
        <x:v>5000</x:v>
      </x:c>
      <x:c r="H14" s="22" t="n">
        <x:f>ROUND(G14-F14,2)</x:f>
        <x:v>5000</x:v>
      </x:c>
      <x:c r="I14" t="str">
        <x:f>IF(C14=0,"No entry",IF(D14=0,"Complete/Excess","Short"))</x:f>
        <x:v>No entry</x:v>
      </x:c>
    </x:row>
    <x:row r="15">
      <x:c r="A15" s="38" t="n">
        <x:v>46204</x:v>
      </x:c>
      <x:c r="B15" s="22" t="n">
        <x:f>IF(A15="","",START_HERE!$B$6)</x:f>
        <x:v>39</x:v>
      </x:c>
      <x:c r="C15" s="22" t="n">
        <x:f>ROUND(SUMIFS(Attendance_Ledger_Input!$H:$H,Attendance_Ledger_Input!$B:$B,"&gt;="&amp;A15,Attendance_Ledger_Input!$B:$B,"&lt;"&amp;EDATE(A15,1),Attendance_Ledger_Input!$J:$J,"Completed"),2)</x:f>
        <x:v>0</x:v>
      </x:c>
      <x:c r="D15" s="22" t="n">
        <x:f>MAX(0,B15-C15)</x:f>
        <x:v>39</x:v>
      </x:c>
      <x:c r="E15" s="22" t="n">
        <x:f>MAX(0,C15-B15)</x:f>
        <x:v>0</x:v>
      </x:c>
      <x:c r="F15" s="22" t="n">
        <x:f>ROUND(C15*START_HERE!$B$4,2)</x:f>
        <x:v>0</x:v>
      </x:c>
      <x:c r="G15" s="22" t="n">
        <x:f>ROUND(SUMIFS(Payments_Input!$D:$D,Payments_Input!$B:$B,"&gt;="&amp;A15,Payments_Input!$B:$B,"&lt;"&amp;EDATE(A15,1)),2)</x:f>
        <x:v>0</x:v>
      </x:c>
      <x:c r="H15" s="22" t="n">
        <x:f>ROUND(G15-F15,2)</x:f>
        <x:v>0</x:v>
      </x:c>
      <x:c r="I15" t="str">
        <x:f>IF(C15=0,"No entry",IF(D15=0,"Complete/Excess","Short"))</x:f>
        <x:v>No entry</x:v>
      </x:c>
    </x:row>
    <x:row r="16">
      <x:c r="A16" s="38" t="n">
        <x:v>46235</x:v>
      </x:c>
      <x:c r="B16" s="22" t="n">
        <x:f>IF(A16="","",START_HERE!$B$6)</x:f>
        <x:v>39</x:v>
      </x:c>
      <x:c r="C16" s="22" t="n">
        <x:f>ROUND(SUMIFS(Attendance_Ledger_Input!$H:$H,Attendance_Ledger_Input!$B:$B,"&gt;="&amp;A16,Attendance_Ledger_Input!$B:$B,"&lt;"&amp;EDATE(A16,1),Attendance_Ledger_Input!$J:$J,"Completed"),2)</x:f>
        <x:v>0</x:v>
      </x:c>
      <x:c r="D16" s="22" t="n">
        <x:f>MAX(0,B16-C16)</x:f>
        <x:v>39</x:v>
      </x:c>
      <x:c r="E16" s="22" t="n">
        <x:f>MAX(0,C16-B16)</x:f>
        <x:v>0</x:v>
      </x:c>
      <x:c r="F16" s="22" t="n">
        <x:f>ROUND(C16*START_HERE!$B$4,2)</x:f>
        <x:v>0</x:v>
      </x:c>
      <x:c r="G16" s="22" t="n">
        <x:f>ROUND(SUMIFS(Payments_Input!$D:$D,Payments_Input!$B:$B,"&gt;="&amp;A16,Payments_Input!$B:$B,"&lt;"&amp;EDATE(A16,1)),2)</x:f>
        <x:v>0</x:v>
      </x:c>
      <x:c r="H16" s="22" t="n">
        <x:f>ROUND(G16-F16,2)</x:f>
        <x:v>0</x:v>
      </x:c>
      <x:c r="I16" t="str">
        <x:f>IF(C16=0,"No entry",IF(D16=0,"Complete/Excess","Short"))</x:f>
        <x:v>No entry</x:v>
      </x:c>
    </x:row>
    <x:row r="17">
      <x:c r="A17" s="38" t="n">
        <x:v>46266</x:v>
      </x:c>
      <x:c r="B17" s="22" t="n">
        <x:f>IF(A17="","",START_HERE!$B$6)</x:f>
        <x:v>39</x:v>
      </x:c>
      <x:c r="C17" s="22" t="n">
        <x:f>ROUND(SUMIFS(Attendance_Ledger_Input!$H:$H,Attendance_Ledger_Input!$B:$B,"&gt;="&amp;A17,Attendance_Ledger_Input!$B:$B,"&lt;"&amp;EDATE(A17,1),Attendance_Ledger_Input!$J:$J,"Completed"),2)</x:f>
        <x:v>0</x:v>
      </x:c>
      <x:c r="D17" s="22" t="n">
        <x:f>MAX(0,B17-C17)</x:f>
        <x:v>39</x:v>
      </x:c>
      <x:c r="E17" s="22" t="n">
        <x:f>MAX(0,C17-B17)</x:f>
        <x:v>0</x:v>
      </x:c>
      <x:c r="F17" s="22" t="n">
        <x:f>ROUND(C17*START_HERE!$B$4,2)</x:f>
        <x:v>0</x:v>
      </x:c>
      <x:c r="G17" s="22" t="n">
        <x:f>ROUND(SUMIFS(Payments_Input!$D:$D,Payments_Input!$B:$B,"&gt;="&amp;A17,Payments_Input!$B:$B,"&lt;"&amp;EDATE(A17,1)),2)</x:f>
        <x:v>0</x:v>
      </x:c>
      <x:c r="H17" s="22" t="n">
        <x:f>ROUND(G17-F17,2)</x:f>
        <x:v>0</x:v>
      </x:c>
      <x:c r="I17" t="str">
        <x:f>IF(C17=0,"No entry",IF(D17=0,"Complete/Excess","Short"))</x:f>
        <x:v>No entry</x:v>
      </x:c>
    </x:row>
    <x:row r="18">
      <x:c r="A18" s="38" t="n">
        <x:v>46296</x:v>
      </x:c>
      <x:c r="B18" s="22" t="n">
        <x:f>IF(A18="","",START_HERE!$B$6)</x:f>
        <x:v>39</x:v>
      </x:c>
      <x:c r="C18" s="22" t="n">
        <x:f>ROUND(SUMIFS(Attendance_Ledger_Input!$H:$H,Attendance_Ledger_Input!$B:$B,"&gt;="&amp;A18,Attendance_Ledger_Input!$B:$B,"&lt;"&amp;EDATE(A18,1),Attendance_Ledger_Input!$J:$J,"Completed"),2)</x:f>
        <x:v>0</x:v>
      </x:c>
      <x:c r="D18" s="22" t="n">
        <x:f>MAX(0,B18-C18)</x:f>
        <x:v>39</x:v>
      </x:c>
      <x:c r="E18" s="22" t="n">
        <x:f>MAX(0,C18-B18)</x:f>
        <x:v>0</x:v>
      </x:c>
      <x:c r="F18" s="22" t="n">
        <x:f>ROUND(C18*START_HERE!$B$4,2)</x:f>
        <x:v>0</x:v>
      </x:c>
      <x:c r="G18" s="22" t="n">
        <x:f>ROUND(SUMIFS(Payments_Input!$D:$D,Payments_Input!$B:$B,"&gt;="&amp;A18,Payments_Input!$B:$B,"&lt;"&amp;EDATE(A18,1)),2)</x:f>
        <x:v>0</x:v>
      </x:c>
      <x:c r="H18" s="22" t="n">
        <x:f>ROUND(G18-F18,2)</x:f>
        <x:v>0</x:v>
      </x:c>
      <x:c r="I18" t="str">
        <x:f>IF(C18=0,"No entry",IF(D18=0,"Complete/Excess","Short"))</x:f>
        <x:v>No entry</x:v>
      </x:c>
    </x:row>
    <x:row r="19">
      <x:c r="A19" s="38" t="n">
        <x:v>46327</x:v>
      </x:c>
      <x:c r="B19" s="22" t="n">
        <x:f>IF(A19="","",START_HERE!$B$6)</x:f>
        <x:v>39</x:v>
      </x:c>
      <x:c r="C19" s="22" t="n">
        <x:f>ROUND(SUMIFS(Attendance_Ledger_Input!$H:$H,Attendance_Ledger_Input!$B:$B,"&gt;="&amp;A19,Attendance_Ledger_Input!$B:$B,"&lt;"&amp;EDATE(A19,1),Attendance_Ledger_Input!$J:$J,"Completed"),2)</x:f>
        <x:v>0</x:v>
      </x:c>
      <x:c r="D19" s="22" t="n">
        <x:f>MAX(0,B19-C19)</x:f>
        <x:v>39</x:v>
      </x:c>
      <x:c r="E19" s="22" t="n">
        <x:f>MAX(0,C19-B19)</x:f>
        <x:v>0</x:v>
      </x:c>
      <x:c r="F19" s="22" t="n">
        <x:f>ROUND(C19*START_HERE!$B$4,2)</x:f>
        <x:v>0</x:v>
      </x:c>
      <x:c r="G19" s="22" t="n">
        <x:f>ROUND(SUMIFS(Payments_Input!$D:$D,Payments_Input!$B:$B,"&gt;="&amp;A19,Payments_Input!$B:$B,"&lt;"&amp;EDATE(A19,1)),2)</x:f>
        <x:v>0</x:v>
      </x:c>
      <x:c r="H19" s="22" t="n">
        <x:f>ROUND(G19-F19,2)</x:f>
        <x:v>0</x:v>
      </x:c>
      <x:c r="I19" t="str">
        <x:f>IF(C19=0,"No entry",IF(D19=0,"Complete/Excess","Short"))</x:f>
        <x:v>No entry</x:v>
      </x:c>
    </x:row>
    <x:row r="20">
      <x:c r="A20" s="38" t="n">
        <x:v>46357</x:v>
      </x:c>
      <x:c r="B20" s="22" t="n">
        <x:f>IF(A20="","",START_HERE!$B$6)</x:f>
        <x:v>39</x:v>
      </x:c>
      <x:c r="C20" s="22" t="n">
        <x:f>ROUND(SUMIFS(Attendance_Ledger_Input!$H:$H,Attendance_Ledger_Input!$B:$B,"&gt;="&amp;A20,Attendance_Ledger_Input!$B:$B,"&lt;"&amp;EDATE(A20,1),Attendance_Ledger_Input!$J:$J,"Completed"),2)</x:f>
        <x:v>0</x:v>
      </x:c>
      <x:c r="D20" s="22" t="n">
        <x:f>MAX(0,B20-C20)</x:f>
        <x:v>39</x:v>
      </x:c>
      <x:c r="E20" s="22" t="n">
        <x:f>MAX(0,C20-B20)</x:f>
        <x:v>0</x:v>
      </x:c>
      <x:c r="F20" s="22" t="n">
        <x:f>ROUND(C20*START_HERE!$B$4,2)</x:f>
        <x:v>0</x:v>
      </x:c>
      <x:c r="G20" s="22" t="n">
        <x:f>ROUND(SUMIFS(Payments_Input!$D:$D,Payments_Input!$B:$B,"&gt;="&amp;A20,Payments_Input!$B:$B,"&lt;"&amp;EDATE(A20,1)),2)</x:f>
        <x:v>0</x:v>
      </x:c>
      <x:c r="H20" s="22" t="n">
        <x:f>ROUND(G20-F20,2)</x:f>
        <x:v>0</x:v>
      </x:c>
      <x:c r="I20" t="str">
        <x:f>IF(C20=0,"No entry",IF(D20=0,"Complete/Excess","Short"))</x:f>
        <x:v>No entry</x:v>
      </x:c>
    </x:row>
    <x:row r="21">
      <x:c r="A21" s="38" t="n">
        <x:v>46388</x:v>
      </x:c>
      <x:c r="B21" s="22" t="n">
        <x:f>IF(A21="","",START_HERE!$B$6)</x:f>
        <x:v>39</x:v>
      </x:c>
      <x:c r="C21" s="22" t="n">
        <x:f>ROUND(SUMIFS(Attendance_Ledger_Input!$H:$H,Attendance_Ledger_Input!$B:$B,"&gt;="&amp;A21,Attendance_Ledger_Input!$B:$B,"&lt;"&amp;EDATE(A21,1),Attendance_Ledger_Input!$J:$J,"Completed"),2)</x:f>
        <x:v>0</x:v>
      </x:c>
      <x:c r="D21" s="22" t="n">
        <x:f>MAX(0,B21-C21)</x:f>
        <x:v>39</x:v>
      </x:c>
      <x:c r="E21" s="22" t="n">
        <x:f>MAX(0,C21-B21)</x:f>
        <x:v>0</x:v>
      </x:c>
      <x:c r="F21" s="22" t="n">
        <x:f>ROUND(C21*START_HERE!$B$4,2)</x:f>
        <x:v>0</x:v>
      </x:c>
      <x:c r="G21" s="22" t="n">
        <x:f>ROUND(SUMIFS(Payments_Input!$D:$D,Payments_Input!$B:$B,"&gt;="&amp;A21,Payments_Input!$B:$B,"&lt;"&amp;EDATE(A21,1)),2)</x:f>
        <x:v>0</x:v>
      </x:c>
      <x:c r="H21" s="22" t="n">
        <x:f>ROUND(G21-F21,2)</x:f>
        <x:v>0</x:v>
      </x:c>
      <x:c r="I21" t="str">
        <x:f>IF(C21=0,"No entry",IF(D21=0,"Complete/Excess","Short"))</x:f>
        <x:v>No entry</x:v>
      </x:c>
    </x:row>
    <x:row r="22">
      <x:c r="A22" s="38" t="n">
        <x:v>46419</x:v>
      </x:c>
      <x:c r="B22" s="22" t="n">
        <x:f>IF(A22="","",START_HERE!$B$6)</x:f>
        <x:v>39</x:v>
      </x:c>
      <x:c r="C22" s="22" t="n">
        <x:f>ROUND(SUMIFS(Attendance_Ledger_Input!$H:$H,Attendance_Ledger_Input!$B:$B,"&gt;="&amp;A22,Attendance_Ledger_Input!$B:$B,"&lt;"&amp;EDATE(A22,1),Attendance_Ledger_Input!$J:$J,"Completed"),2)</x:f>
        <x:v>0</x:v>
      </x:c>
      <x:c r="D22" s="22" t="n">
        <x:f>MAX(0,B22-C22)</x:f>
        <x:v>39</x:v>
      </x:c>
      <x:c r="E22" s="22" t="n">
        <x:f>MAX(0,C22-B22)</x:f>
        <x:v>0</x:v>
      </x:c>
      <x:c r="F22" s="22" t="n">
        <x:f>ROUND(C22*START_HERE!$B$4,2)</x:f>
        <x:v>0</x:v>
      </x:c>
      <x:c r="G22" s="22" t="n">
        <x:f>ROUND(SUMIFS(Payments_Input!$D:$D,Payments_Input!$B:$B,"&gt;="&amp;A22,Payments_Input!$B:$B,"&lt;"&amp;EDATE(A22,1)),2)</x:f>
        <x:v>0</x:v>
      </x:c>
      <x:c r="H22" s="22" t="n">
        <x:f>ROUND(G22-F22,2)</x:f>
        <x:v>0</x:v>
      </x:c>
      <x:c r="I22" t="str">
        <x:f>IF(C22=0,"No entry",IF(D22=0,"Complete/Excess","Short"))</x:f>
        <x:v>No entry</x:v>
      </x:c>
    </x:row>
    <x:row r="23">
      <x:c r="A23" s="38" t="n">
        <x:v>46447</x:v>
      </x:c>
      <x:c r="B23" s="22" t="n">
        <x:f>IF(A23="","",START_HERE!$B$6)</x:f>
        <x:v>39</x:v>
      </x:c>
      <x:c r="C23" s="22" t="n">
        <x:f>ROUND(SUMIFS(Attendance_Ledger_Input!$H:$H,Attendance_Ledger_Input!$B:$B,"&gt;="&amp;A23,Attendance_Ledger_Input!$B:$B,"&lt;"&amp;EDATE(A23,1),Attendance_Ledger_Input!$J:$J,"Completed"),2)</x:f>
        <x:v>0</x:v>
      </x:c>
      <x:c r="D23" s="22" t="n">
        <x:f>MAX(0,B23-C23)</x:f>
        <x:v>39</x:v>
      </x:c>
      <x:c r="E23" s="22" t="n">
        <x:f>MAX(0,C23-B23)</x:f>
        <x:v>0</x:v>
      </x:c>
      <x:c r="F23" s="22" t="n">
        <x:f>ROUND(C23*START_HERE!$B$4,2)</x:f>
        <x:v>0</x:v>
      </x:c>
      <x:c r="G23" s="22" t="n">
        <x:f>ROUND(SUMIFS(Payments_Input!$D:$D,Payments_Input!$B:$B,"&gt;="&amp;A23,Payments_Input!$B:$B,"&lt;"&amp;EDATE(A23,1)),2)</x:f>
        <x:v>0</x:v>
      </x:c>
      <x:c r="H23" s="22" t="n">
        <x:f>ROUND(G23-F23,2)</x:f>
        <x:v>0</x:v>
      </x:c>
      <x:c r="I23" t="str">
        <x:f>IF(C23=0,"No entry",IF(D23=0,"Complete/Excess","Short"))</x:f>
        <x:v>No entry</x:v>
      </x:c>
    </x:row>
  </x:sheetData>
  <x:conditionalFormatting sqref="D2:D23">
    <x:cfRule type="expression" dxfId="3" priority="1">
      <x:formula>D2&gt;0</x:formula>
    </x:cfRule>
  </x:conditionalFormatting>
  <x:conditionalFormatting sqref="H2:H23">
    <x:cfRule type="expression" dxfId="4" priority="2">
      <x:formula>H2&gt;0</x:formula>
    </x:cfRule>
    <x:cfRule type="expression" dxfId="5" priority="3">
      <x:formula>H2&lt;0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a22be349ad4e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6.79999923706055" hidden="0" customWidth="1"/>
    <x:col min="2" max="2" width="32" hidden="0" customWidth="1"/>
    <x:col min="3" max="3" width="36" hidden="0" customWidth="1"/>
    <x:col min="4" max="4" width="24" hidden="0" customWidth="1"/>
  </x:cols>
  <x:sheetData>
    <x:row r="1">
      <x:c r="A1" s="4" t="str">
        <x:v>FINAL AUTO-GENERATED ZERO DEFECT AUDIT OUTPUT</x:v>
      </x:c>
    </x:row>
    <x:row r="3">
      <x:c r="A3" s="12" t="str">
        <x:v>Sr</x:v>
      </x:c>
      <x:c r="B3" s="12" t="str">
        <x:v>Particular</x:v>
      </x:c>
      <x:c r="C3" s="12" t="str">
        <x:v>Formula / Basis</x:v>
      </x:c>
      <x:c r="D3" s="12" t="str">
        <x:v>Result</x:v>
      </x:c>
    </x:row>
    <x:row r="4">
      <x:c r="A4" t="n">
        <x:v>1</x:v>
      </x:c>
      <x:c r="B4" t="str">
        <x:v>Total Contract Expected Hours</x:v>
      </x:c>
      <x:c r="C4" t="str">
        <x:v>START_HERE!B5</x:v>
      </x:c>
      <x:c r="D4" s="22" t="n">
        <x:f>START_HERE!$B$5</x:f>
        <x:v>195</x:v>
      </x:c>
    </x:row>
    <x:row r="5">
      <x:c r="A5" t="n">
        <x:v>2</x:v>
      </x:c>
      <x:c r="B5" t="str">
        <x:v>Total Completed Hours</x:v>
      </x:c>
      <x:c r="C5" t="str">
        <x:v>SUM Attendance_Ledger_Input!H:H</x:v>
      </x:c>
      <x:c r="D5" s="22" t="n">
        <x:f>ROUND(SUM(Attendance_Ledger_Input!$H$2:$H$501),2)</x:f>
        <x:v>97.73</x:v>
      </x:c>
    </x:row>
    <x:row r="6">
      <x:c r="A6" t="n">
        <x:v>3</x:v>
      </x:c>
      <x:c r="B6" t="str">
        <x:v>Verified Shortage Hours</x:v>
      </x:c>
      <x:c r="C6" t="str">
        <x:v>Expected - Completed</x:v>
      </x:c>
      <x:c r="D6" s="22" t="n">
        <x:f>MAX(0,D4-D5)</x:f>
        <x:v>97.27</x:v>
      </x:c>
    </x:row>
    <x:row r="7">
      <x:c r="A7" t="n">
        <x:v>4</x:v>
      </x:c>
      <x:c r="B7" t="str">
        <x:v>Hourly Rate</x:v>
      </x:c>
      <x:c r="C7" t="str">
        <x:v>START_HERE!B4</x:v>
      </x:c>
      <x:c r="D7" s="22" t="n">
        <x:f>START_HERE!$B$4</x:f>
        <x:v>384</x:v>
      </x:c>
    </x:row>
    <x:row r="8">
      <x:c r="A8" t="n">
        <x:v>5</x:v>
      </x:c>
      <x:c r="B8" t="str">
        <x:v>Tuition Value</x:v>
      </x:c>
      <x:c r="C8" t="str">
        <x:v>Completed Hours × Hourly Rate</x:v>
      </x:c>
      <x:c r="D8" s="22" t="n">
        <x:f>ROUND(D5*D7,2)</x:f>
        <x:v>37528.32</x:v>
      </x:c>
    </x:row>
    <x:row r="9">
      <x:c r="A9" t="n">
        <x:v>6</x:v>
      </x:c>
      <x:c r="B9" t="str">
        <x:v>Total Payment Received</x:v>
      </x:c>
      <x:c r="C9" t="str">
        <x:v>SUM Payments_Input!D:D</x:v>
      </x:c>
      <x:c r="D9" s="22" t="n">
        <x:f>ROUND(SUM(Payments_Input!$D$2:$D$201),2)</x:f>
        <x:v>91464</x:v>
      </x:c>
    </x:row>
    <x:row r="10">
      <x:c r="A10" t="n">
        <x:v>7</x:v>
      </x:c>
      <x:c r="B10" t="str">
        <x:v>Refundable / Excess Amount</x:v>
      </x:c>
      <x:c r="C10" t="str">
        <x:v>Payment - Tuition Value</x:v>
      </x:c>
      <x:c r="D10" s="22" t="n">
        <x:f>ROUND(D9-D8,2)</x:f>
        <x:v>53935.68</x:v>
      </x:c>
    </x:row>
    <x:row r="11">
      <x:c r="A11" t="n">
        <x:v>8</x:v>
      </x:c>
      <x:c r="B11" t="str">
        <x:v>Amount Payable to Tutor</x:v>
      </x:c>
      <x:c r="C11" t="str">
        <x:v>If negative refund, then payable</x:v>
      </x:c>
      <x:c r="D11" t="n">
        <x:f>IF(D10&lt;0,ABS(D10),0)</x:f>
        <x:v>0</x:v>
      </x:c>
    </x:row>
    <x:row r="12">
      <x:c r="A12" t="n">
        <x:v>9</x:v>
      </x:c>
      <x:c r="B12" t="str">
        <x:v>Stated 99-hour shortage verification</x:v>
      </x:c>
      <x:c r="C12" t="str">
        <x:v>Compare actual shortage to 99</x:v>
      </x:c>
      <x:c r="D12" t="str">
        <x:f>IF(ROUND(D6,2)=99,"MATCHES 99 HOURS","DOES NOT MATCH 99 HOURS")</x:f>
        <x:v>DOES NOT MATCH 99 HOURS</x:v>
      </x:c>
    </x:row>
    <x:row r="13">
      <x:c r="A13" t="n">
        <x:v>10</x:v>
      </x:c>
      <x:c r="B13" t="str">
        <x:v>Ledger Error Count</x:v>
      </x:c>
      <x:c r="C13" t="str">
        <x:v>Count CHECK TIME</x:v>
      </x:c>
      <x:c r="D13" t="n">
        <x:f>COUNTIF(Attendance_Ledger_Input!$N$2:$N$501,"CHECK TIME")</x:f>
        <x:v>3</x:v>
      </x:c>
    </x:row>
    <x:row r="14">
      <x:c r="A14" t="n">
        <x:v>11</x:v>
      </x:c>
      <x:c r="B14" t="str">
        <x:v>Blank Date Count with Inputs</x:v>
      </x:c>
      <x:c r="C14" t="str">
        <x:v>Control check</x:v>
      </x:c>
      <x:c r="D14" t="n">
        <x:f>COUNTIFS(Attendance_Ledger_Input!$B$2:$B$501,"",Attendance_Ledger_Input!$J$2:$J$501,"Completed")</x:f>
        <x:v>0</x:v>
      </x:c>
    </x:row>
    <x:row r="15">
      <x:c r="A15" t="n">
        <x:v>12</x:v>
      </x:c>
      <x:c r="B15" t="str">
        <x:v>Final Status</x:v>
      </x:c>
      <x:c r="C15" t="str">
        <x:v>Auto status</x:v>
      </x:c>
      <x:c r="D15" t="str">
        <x:f>IF(AND(D13=0,D14=0),"ZERO DEFECT READY","CHECK INPUT ERRORS")</x:f>
        <x:v>CHECK INPUT ERRORS</x:v>
      </x:c>
    </x:row>
    <x:row r="16">
      <x:c r="A16" t="n">
        <x:v>13</x:v>
      </x:c>
      <x:c r="B16" t="str">
        <x:v>Last Updated</x:v>
      </x:c>
      <x:c r="C16" t="str">
        <x:v>System date when opened</x:v>
      </x:c>
      <x:c r="D16" s="24" t="n">
        <x:f>TODAY()</x:f>
        <x:v>46187</x:v>
      </x:c>
    </x:row>
    <x:row r="17">
      <x:c r="A17" t="n">
        <x:v>14</x:v>
      </x:c>
      <x:c r="B17" t="str">
        <x:v>Remarks</x:v>
      </x:c>
      <x:c r="C17" t="str">
        <x:v>Zero defect rule</x:v>
      </x:c>
      <x:c r="D17" t="str">
        <x:f>IF(D15="ZERO DEFECT READY","All outputs are formula generated from ledger/payment inputs.","Resolve highlighted input errors first.")</x:f>
        <x:v>Resolve highlighted input errors first.</x:v>
      </x:c>
    </x:row>
    <x:row r="18">
      <x:c r="A18" t="n">
        <x:v>15</x:v>
      </x:c>
      <x:c r="B18" t="str">
        <x:v>User Action</x:v>
      </x:c>
      <x:c r="C18" t="str">
        <x:v>Enter/modify only input sheets</x:v>
      </x:c>
      <x:c r="D18" t="str">
        <x:f>"Use Attendance_Ledger_Input and Payments_Input only"</x:f>
        <x:v>Use Attendance_Ledger_Input and Payments_Input only</x:v>
      </x:c>
    </x:row>
  </x:sheetData>
  <x:mergeCells>
    <x:mergeCell ref="A1:D1"/>
  </x:mergeCells>
  <x:conditionalFormatting sqref="D15:D15">
    <x:cfRule type="expression" dxfId="6" priority="1">
      <x:formula>D15="ZERO DEFECT READY"</x:formula>
    </x:cfRule>
    <x:cfRule type="expression" dxfId="7" priority="2">
      <x:formula>D15&lt;&gt;"ZERO DEFECT READY"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.86000061035156" hidden="0" customWidth="1"/>
    <x:col min="2" max="2" width="39.970001220703125" hidden="0" customWidth="1"/>
    <x:col min="3" max="3" width="32.29999923706055" hidden="0" customWidth="1"/>
    <x:col min="4" max="4" width="23.280000686645508" hidden="0" customWidth="1"/>
  </x:cols>
  <x:sheetData>
    <x:row r="1">
      <x:c r="A1" s="4" t="str">
        <x:v>ZERO DEFECT FORMULA &amp; INPUT CHECK SHEET</x:v>
      </x:c>
    </x:row>
    <x:row r="3">
      <x:c r="A3" s="12" t="str">
        <x:v>Check</x:v>
      </x:c>
      <x:c r="B3" s="12" t="str">
        <x:v>Formula</x:v>
      </x:c>
      <x:c r="C3" s="12" t="str">
        <x:v>Result</x:v>
      </x:c>
      <x:c r="D3" s="12" t="str">
        <x:v>Action</x:v>
      </x:c>
    </x:row>
    <x:row r="4">
      <x:c r="A4" t="str">
        <x:v>Attendance rows marked CHECK TIME</x:v>
      </x:c>
      <x:c r="B4" t="str">
        <x:v>COUNTIF input check</x:v>
      </x:c>
      <x:c r="C4" t="n">
        <x:f>COUNTIF(Attendance_Ledger_Input!$N$2:$N$501,"CHECK TIME")</x:f>
        <x:v>3</x:v>
      </x:c>
      <x:c r="D4" t="str">
        <x:v>Correct start/end time</x:v>
      </x:c>
    </x:row>
    <x:row r="5">
      <x:c r="A5" t="str">
        <x:v>Completed rows without date</x:v>
      </x:c>
      <x:c r="B5" t="str">
        <x:v>COUNTIFS</x:v>
      </x:c>
      <x:c r="C5" t="n">
        <x:f>COUNTIFS(Attendance_Ledger_Input!$J$2:$J$501,"Completed",Attendance_Ledger_Input!$B$2:$B$501,"")</x:f>
        <x:v>0</x:v>
      </x:c>
      <x:c r="D5" t="str">
        <x:v>Enter date</x:v>
      </x:c>
    </x:row>
    <x:row r="6">
      <x:c r="A6" t="str">
        <x:v>Completed rows without start/end</x:v>
      </x:c>
      <x:c r="B6" t="str">
        <x:v>COUNTIFS</x:v>
      </x:c>
      <x:c r="C6" t="n">
        <x:f>COUNTIFS(Attendance_Ledger_Input!$J$2:$J$501,"Completed",Attendance_Ledger_Input!$E$2:$E$501,"")+COUNTIFS(Attendance_Ledger_Input!$J$2:$J$501,"Completed",Attendance_Ledger_Input!$F$2:$F$501,"")</x:f>
        <x:v>0</x:v>
      </x:c>
      <x:c r="D6" t="str">
        <x:v>Enter both times</x:v>
      </x:c>
    </x:row>
    <x:row r="7">
      <x:c r="A7" t="str">
        <x:v>Negative / impossible durations</x:v>
      </x:c>
      <x:c r="B7" t="str">
        <x:v>COUNTIF duration &lt;0</x:v>
      </x:c>
      <x:c r="C7" t="n">
        <x:f>COUNTIF(Attendance_Ledger_Input!$H$2:$H$501,"&lt;0")</x:f>
        <x:v>0</x:v>
      </x:c>
      <x:c r="D7" t="str">
        <x:v>Correct time</x:v>
      </x:c>
    </x:row>
    <x:row r="8">
      <x:c r="A8" t="str">
        <x:v>Payment rows without date</x:v>
      </x:c>
      <x:c r="B8" t="str">
        <x:v>COUNTIFS</x:v>
      </x:c>
      <x:c r="C8" t="n">
        <x:f>COUNTIFS(Payments_Input!$D$2:$D$201,"&gt;0",Payments_Input!$B$2:$B$201,"")</x:f>
        <x:v>0</x:v>
      </x:c>
      <x:c r="D8" t="str">
        <x:v>Enter date</x:v>
      </x:c>
    </x:row>
    <x:row r="9">
      <x:c r="A9" t="str">
        <x:v>Payment rows without amount</x:v>
      </x:c>
      <x:c r="B9" t="str">
        <x:v>COUNTIFS</x:v>
      </x:c>
      <x:c r="C9" t="n">
        <x:f>COUNTIFS(Payments_Input!$B$2:$B$201,"&lt;&gt;",Payments_Input!$D$2:$D$201,"")</x:f>
        <x:v>0</x:v>
      </x:c>
      <x:c r="D9" t="str">
        <x:v>Enter amount</x:v>
      </x:c>
    </x:row>
    <x:row r="10">
      <x:c r="A10" t="str">
        <x:v>Formula error flag</x:v>
      </x:c>
      <x:c r="B10" t="str">
        <x:v>Manual Excel error scan</x:v>
      </x:c>
      <x:c r="C10" t="str">
        <x:v>No formula errors in generated formulas</x:v>
      </x:c>
      <x:c r="D10" t="str">
        <x:v>Open in Excel and recalculate</x:v>
      </x:c>
    </x:row>
    <x:row r="11">
      <x:c r="A11" t="str">
        <x:v>Output dependency</x:v>
      </x:c>
      <x:c r="B11" t="str">
        <x:v>All output uses ledger/payments</x:v>
      </x:c>
      <x:c r="C11" t="str">
        <x:v>OK</x:v>
      </x:c>
      <x:c r="D11" t="str">
        <x:v>Do not edit output formulas</x:v>
      </x:c>
    </x:row>
    <x:row r="12">
      <x:c r="A12" t="str">
        <x:v>Protection note</x:v>
      </x:c>
      <x:c r="B12" t="str">
        <x:v>Input sheets editable; output should be preserved</x:v>
      </x:c>
      <x:c r="C12" t="str">
        <x:v>OK</x:v>
      </x:c>
      <x:c r="D12" t="str">
        <x:v>Keep backup</x:v>
      </x:c>
    </x:row>
  </x:sheetData>
  <x:mergeCells>
    <x:mergeCell ref="A1:D1"/>
  </x:mergeCells>
  <x:conditionalFormatting sqref="C4:C9">
    <x:cfRule type="expression" dxfId="8" priority="1">
      <x:formula>C4&gt;0</x:formula>
    </x:cfRule>
    <x:cfRule type="expression" dxfId="9" priority="2">
      <x:formula>C4=0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.70000076293945" hidden="0" customWidth="1"/>
    <x:col min="2" max="2" width="80" hidden="0" customWidth="1"/>
  </x:cols>
  <x:sheetData>
    <x:row r="1">
      <x:c r="A1" s="4" t="str">
        <x:v>HOW TO USE THIS APPLICATION WORKBOOK</x:v>
      </x:c>
      <x:c r="B1" s="40"/>
    </x:row>
    <x:row r="3">
      <x:c r="A3" s="12" t="str">
        <x:v>Step</x:v>
      </x:c>
      <x:c r="B3" s="12" t="str">
        <x:v>Instruction</x:v>
      </x:c>
    </x:row>
    <x:row r="4">
      <x:c r="A4" t="n">
        <x:v>1</x:v>
      </x:c>
      <x:c r="B4" t="str">
        <x:v>Enter attendance only in Attendance_Ledger_Input: Date, Start Time, End Time, Break, Status, Remarks.</x:v>
      </x:c>
    </x:row>
    <x:row r="5">
      <x:c r="A5" t="n">
        <x:v>2</x:v>
      </x:c>
      <x:c r="B5" t="str">
        <x:v>Select Status = Completed for classes to be counted. Absent/Cancelled/Pending are not counted.</x:v>
      </x:c>
    </x:row>
    <x:row r="6">
      <x:c r="A6" t="n">
        <x:v>3</x:v>
      </x:c>
      <x:c r="B6" t="str">
        <x:v>Duration Hours, Month, Day, Shortage and Input Check are auto-generated.</x:v>
      </x:c>
    </x:row>
    <x:row r="7">
      <x:c r="A7" t="n">
        <x:v>4</x:v>
      </x:c>
      <x:c r="B7" t="str">
        <x:v>Enter payments only in Payments_Input: Date, Paid By, Amount, Mode/Ref, Remarks.</x:v>
      </x:c>
    </x:row>
    <x:row r="8">
      <x:c r="A8" t="n">
        <x:v>5</x:v>
      </x:c>
      <x:c r="B8" t="str">
        <x:v>Do not type in Monthly_Output, Final_Audit_Output or Zero_Defect_Check. These are formula-generated outputs.</x:v>
      </x:c>
    </x:row>
    <x:row r="9">
      <x:c r="A9" t="n">
        <x:v>6</x:v>
      </x:c>
      <x:c r="B9" t="str">
        <x:v>If Zero_Defect_Check shows errors, fix highlighted rows in input sheets.</x:v>
      </x:c>
    </x:row>
    <x:row r="10">
      <x:c r="A10" t="n">
        <x:v>7</x:v>
      </x:c>
      <x:c r="B10" t="str">
        <x:v>Final refundable/excess amount is available in Final_Audit_Output and START_HERE dashboard.</x:v>
      </x:c>
    </x:row>
  </x:sheetData>
  <x:mergeCells>
    <x:mergeCell ref="A1:G1"/>
  </x:mergeCells>
  <x:pageMargins left="0.7" right="0.7" top="0.75" bottom="0.75" header="0.3" footer="0.3"/>
</x:worksheet>
</file>